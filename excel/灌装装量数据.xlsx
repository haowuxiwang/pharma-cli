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 filterPrivacy="1"/>
  <xr:revisionPtr revIDLastSave="0" documentId="13_ncr:1_{F8A661E6-CBE4-4CAD-9DAF-0AFD3D80B514}" xr6:coauthVersionLast="36" xr6:coauthVersionMax="36" xr10:uidLastSave="{00000000-0000-0000-0000-000000000000}"/>
  <bookViews>
    <workbookView xWindow="0" yWindow="0" windowWidth="20100" windowHeight="9276" xr2:uid="{00000000-000D-0000-FFFF-FFFF00000000}"/>
  </bookViews>
  <sheets>
    <sheet name="腺苷 -1" sheetId="2" r:id="rId1"/>
    <sheet name="谷胱" sheetId="16" r:id="rId2"/>
    <sheet name="谷胱-1" sheetId="11" r:id="rId3"/>
    <sheet name="替加" sheetId="17" r:id="rId4"/>
    <sheet name="替加-1" sheetId="9" r:id="rId5"/>
    <sheet name="腺苷" sheetId="18" r:id="rId6"/>
  </sheets>
  <definedNames>
    <definedName name="_xlnm._FilterDatabase" localSheetId="1" hidden="1">谷胱!$A$1:$P$146</definedName>
    <definedName name="_xlnm._FilterDatabase" localSheetId="2" hidden="1">'谷胱-1'!$A$2:$M$2</definedName>
    <definedName name="_xlnm._FilterDatabase" localSheetId="3" hidden="1">替加!$A$1:$P$71</definedName>
    <definedName name="_xlnm._FilterDatabase" localSheetId="4" hidden="1">'替加-1'!$A$2:$M$2</definedName>
    <definedName name="_xlnm._FilterDatabase" localSheetId="5" hidden="1">腺苷!$A$1:$P$1</definedName>
    <definedName name="_xlnm._FilterDatabase" localSheetId="0" hidden="1">'腺苷 -1'!$A$2:$M$2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3" i="9" l="1"/>
  <c r="C73" i="9"/>
  <c r="D73" i="9"/>
  <c r="E73" i="9"/>
  <c r="F73" i="9"/>
  <c r="G73" i="9"/>
  <c r="H73" i="9"/>
  <c r="I73" i="9"/>
  <c r="J73" i="9"/>
  <c r="K73" i="9"/>
  <c r="L73" i="9"/>
  <c r="M73" i="9"/>
  <c r="C150" i="11" l="1"/>
  <c r="D150" i="11"/>
  <c r="E150" i="11"/>
  <c r="F150" i="11"/>
  <c r="G150" i="11"/>
  <c r="H150" i="11"/>
  <c r="K150" i="11"/>
  <c r="L150" i="11"/>
  <c r="M150" i="11"/>
  <c r="B150" i="11"/>
  <c r="B157" i="11"/>
  <c r="B149" i="11"/>
  <c r="B155" i="11"/>
  <c r="B148" i="11"/>
  <c r="C152" i="11" l="1"/>
  <c r="D152" i="11"/>
  <c r="E152" i="11"/>
  <c r="F152" i="11"/>
  <c r="G152" i="11"/>
  <c r="H152" i="11"/>
  <c r="I152" i="11"/>
  <c r="J152" i="11"/>
  <c r="K152" i="11"/>
  <c r="L152" i="11"/>
  <c r="M152" i="11"/>
  <c r="B152" i="11"/>
  <c r="C150" i="2"/>
  <c r="D150" i="2"/>
  <c r="E150" i="2"/>
  <c r="F150" i="2"/>
  <c r="G150" i="2"/>
  <c r="H150" i="2"/>
  <c r="I150" i="2"/>
  <c r="J150" i="2"/>
  <c r="K150" i="2"/>
  <c r="L150" i="2"/>
  <c r="M150" i="2"/>
  <c r="B150" i="2"/>
  <c r="C148" i="2"/>
  <c r="D148" i="2"/>
  <c r="E148" i="2"/>
  <c r="F148" i="2"/>
  <c r="G148" i="2"/>
  <c r="H148" i="2"/>
  <c r="I148" i="2"/>
  <c r="J148" i="2"/>
  <c r="K148" i="2"/>
  <c r="L148" i="2"/>
  <c r="M148" i="2"/>
  <c r="B148" i="2"/>
  <c r="C149" i="2"/>
  <c r="D149" i="2"/>
  <c r="E149" i="2"/>
  <c r="F149" i="2"/>
  <c r="G149" i="2"/>
  <c r="H149" i="2"/>
  <c r="I149" i="2"/>
  <c r="J149" i="2"/>
  <c r="K149" i="2"/>
  <c r="L149" i="2"/>
  <c r="M149" i="2"/>
  <c r="B149" i="2"/>
  <c r="B147" i="2"/>
  <c r="M147" i="2"/>
  <c r="L147" i="2"/>
  <c r="K147" i="2"/>
  <c r="J147" i="2"/>
  <c r="I147" i="2"/>
  <c r="H147" i="2"/>
  <c r="G147" i="2"/>
  <c r="F147" i="2"/>
  <c r="E147" i="2"/>
  <c r="D147" i="2"/>
  <c r="C147" i="2"/>
  <c r="C149" i="11"/>
  <c r="D149" i="11"/>
  <c r="E149" i="11"/>
  <c r="F149" i="11"/>
  <c r="G149" i="11"/>
  <c r="H149" i="11"/>
  <c r="I149" i="11"/>
  <c r="I150" i="11" s="1"/>
  <c r="J149" i="11"/>
  <c r="J150" i="11" s="1"/>
  <c r="K149" i="11"/>
  <c r="L149" i="11"/>
  <c r="M149" i="11"/>
  <c r="C148" i="11"/>
  <c r="C151" i="11" s="1"/>
  <c r="D148" i="11"/>
  <c r="D151" i="11" s="1"/>
  <c r="E148" i="11"/>
  <c r="E151" i="11" s="1"/>
  <c r="F148" i="11"/>
  <c r="F151" i="11" s="1"/>
  <c r="G148" i="11"/>
  <c r="G151" i="11" s="1"/>
  <c r="H148" i="11"/>
  <c r="H151" i="11" s="1"/>
  <c r="I148" i="11"/>
  <c r="I151" i="11" s="1"/>
  <c r="J148" i="11"/>
  <c r="J151" i="11" s="1"/>
  <c r="K148" i="11"/>
  <c r="K151" i="11" s="1"/>
  <c r="L148" i="11"/>
  <c r="L151" i="11" s="1"/>
  <c r="M148" i="11"/>
  <c r="M151" i="11" s="1"/>
  <c r="B151" i="11"/>
  <c r="C155" i="11"/>
  <c r="D155" i="11"/>
  <c r="E155" i="11"/>
  <c r="F155" i="11"/>
  <c r="G155" i="11"/>
  <c r="H155" i="11"/>
  <c r="I155" i="11"/>
  <c r="J155" i="11"/>
  <c r="K155" i="11"/>
  <c r="L155" i="11"/>
  <c r="M155" i="11"/>
  <c r="C156" i="11"/>
  <c r="D156" i="11"/>
  <c r="E156" i="11"/>
  <c r="F156" i="11"/>
  <c r="G156" i="11"/>
  <c r="H156" i="11"/>
  <c r="I156" i="11"/>
  <c r="J156" i="11"/>
  <c r="K156" i="11"/>
  <c r="L156" i="11"/>
  <c r="M156" i="11"/>
  <c r="C157" i="11"/>
  <c r="D157" i="11"/>
  <c r="E157" i="11"/>
  <c r="F157" i="11"/>
  <c r="G157" i="11"/>
  <c r="H157" i="11"/>
  <c r="I157" i="11"/>
  <c r="J157" i="11"/>
  <c r="K157" i="11"/>
  <c r="L157" i="11"/>
  <c r="M157" i="11"/>
  <c r="C158" i="11"/>
  <c r="C159" i="11" s="1"/>
  <c r="D158" i="11"/>
  <c r="D159" i="11" s="1"/>
  <c r="E158" i="11"/>
  <c r="E159" i="11" s="1"/>
  <c r="F158" i="11"/>
  <c r="F159" i="11" s="1"/>
  <c r="G158" i="11"/>
  <c r="G159" i="11" s="1"/>
  <c r="H158" i="11"/>
  <c r="H159" i="11" s="1"/>
  <c r="H160" i="11" s="1"/>
  <c r="I158" i="11"/>
  <c r="I159" i="11" s="1"/>
  <c r="J158" i="11"/>
  <c r="J159" i="11" s="1"/>
  <c r="K158" i="11"/>
  <c r="K159" i="11" s="1"/>
  <c r="L158" i="11"/>
  <c r="L159" i="11" s="1"/>
  <c r="M158" i="11"/>
  <c r="M159" i="11" s="1"/>
  <c r="B158" i="11"/>
  <c r="B159" i="11" s="1"/>
  <c r="B156" i="11"/>
  <c r="B81" i="9"/>
  <c r="B82" i="9" s="1"/>
  <c r="M81" i="9"/>
  <c r="M82" i="9" s="1"/>
  <c r="L81" i="9"/>
  <c r="L82" i="9" s="1"/>
  <c r="K81" i="9"/>
  <c r="K82" i="9" s="1"/>
  <c r="J81" i="9"/>
  <c r="J82" i="9" s="1"/>
  <c r="I80" i="9"/>
  <c r="H80" i="9"/>
  <c r="G80" i="9"/>
  <c r="F78" i="9"/>
  <c r="E81" i="9"/>
  <c r="E82" i="9" s="1"/>
  <c r="D81" i="9"/>
  <c r="D82" i="9" s="1"/>
  <c r="C81" i="9"/>
  <c r="C82" i="9" s="1"/>
  <c r="N147" i="2" l="1"/>
  <c r="D160" i="11"/>
  <c r="F160" i="11"/>
  <c r="N148" i="11"/>
  <c r="N152" i="11"/>
  <c r="N150" i="2"/>
  <c r="N149" i="2"/>
  <c r="N148" i="2"/>
  <c r="N149" i="11"/>
  <c r="N151" i="11"/>
  <c r="E161" i="11"/>
  <c r="E162" i="11" s="1"/>
  <c r="D161" i="11"/>
  <c r="D162" i="11" s="1"/>
  <c r="G161" i="11"/>
  <c r="G160" i="11"/>
  <c r="C160" i="11"/>
  <c r="C161" i="11"/>
  <c r="E160" i="11"/>
  <c r="H161" i="11"/>
  <c r="H162" i="11" s="1"/>
  <c r="J161" i="11"/>
  <c r="M160" i="11"/>
  <c r="M161" i="11"/>
  <c r="L160" i="11"/>
  <c r="L161" i="11"/>
  <c r="I161" i="11"/>
  <c r="I160" i="11"/>
  <c r="K161" i="11"/>
  <c r="K160" i="11"/>
  <c r="J160" i="11"/>
  <c r="F161" i="11"/>
  <c r="B161" i="11"/>
  <c r="B160" i="11"/>
  <c r="B78" i="9"/>
  <c r="B84" i="9" s="1"/>
  <c r="B80" i="9"/>
  <c r="C78" i="9"/>
  <c r="C84" i="9" s="1"/>
  <c r="K78" i="9"/>
  <c r="K84" i="9" s="1"/>
  <c r="J78" i="9"/>
  <c r="J84" i="9" s="1"/>
  <c r="C80" i="9"/>
  <c r="J80" i="9"/>
  <c r="K80" i="9"/>
  <c r="G79" i="9"/>
  <c r="G81" i="9"/>
  <c r="G82" i="9" s="1"/>
  <c r="F79" i="9"/>
  <c r="D78" i="9"/>
  <c r="L78" i="9"/>
  <c r="H79" i="9"/>
  <c r="D80" i="9"/>
  <c r="L80" i="9"/>
  <c r="H81" i="9"/>
  <c r="H82" i="9" s="1"/>
  <c r="E78" i="9"/>
  <c r="M78" i="9"/>
  <c r="I79" i="9"/>
  <c r="E80" i="9"/>
  <c r="M80" i="9"/>
  <c r="I81" i="9"/>
  <c r="I82" i="9" s="1"/>
  <c r="J79" i="9"/>
  <c r="F80" i="9"/>
  <c r="G78" i="9"/>
  <c r="C79" i="9"/>
  <c r="K79" i="9"/>
  <c r="B79" i="9"/>
  <c r="H78" i="9"/>
  <c r="D79" i="9"/>
  <c r="L79" i="9"/>
  <c r="F81" i="9"/>
  <c r="F82" i="9" s="1"/>
  <c r="F83" i="9" s="1"/>
  <c r="I78" i="9"/>
  <c r="E79" i="9"/>
  <c r="M79" i="9"/>
  <c r="N73" i="9"/>
  <c r="M159" i="2"/>
  <c r="M160" i="2" s="1"/>
  <c r="L159" i="2"/>
  <c r="L160" i="2" s="1"/>
  <c r="K159" i="2"/>
  <c r="K160" i="2" s="1"/>
  <c r="J159" i="2"/>
  <c r="J160" i="2" s="1"/>
  <c r="I159" i="2"/>
  <c r="I160" i="2" s="1"/>
  <c r="H159" i="2"/>
  <c r="H160" i="2" s="1"/>
  <c r="G159" i="2"/>
  <c r="G160" i="2" s="1"/>
  <c r="F159" i="2"/>
  <c r="F160" i="2" s="1"/>
  <c r="E159" i="2"/>
  <c r="E160" i="2" s="1"/>
  <c r="D159" i="2"/>
  <c r="D160" i="2" s="1"/>
  <c r="C159" i="2"/>
  <c r="C160" i="2" s="1"/>
  <c r="B159" i="2"/>
  <c r="B160" i="2" s="1"/>
  <c r="M158" i="2"/>
  <c r="L158" i="2"/>
  <c r="K158" i="2"/>
  <c r="J158" i="2"/>
  <c r="I158" i="2"/>
  <c r="H158" i="2"/>
  <c r="G158" i="2"/>
  <c r="F158" i="2"/>
  <c r="E158" i="2"/>
  <c r="D158" i="2"/>
  <c r="C158" i="2"/>
  <c r="B158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M156" i="2"/>
  <c r="L156" i="2"/>
  <c r="K156" i="2"/>
  <c r="J156" i="2"/>
  <c r="I156" i="2"/>
  <c r="H156" i="2"/>
  <c r="G156" i="2"/>
  <c r="G162" i="2" s="1"/>
  <c r="F156" i="2"/>
  <c r="E156" i="2"/>
  <c r="D156" i="2"/>
  <c r="C156" i="2"/>
  <c r="B156" i="2"/>
  <c r="F162" i="2" l="1"/>
  <c r="N150" i="11"/>
  <c r="G162" i="11"/>
  <c r="F162" i="11"/>
  <c r="L162" i="11"/>
  <c r="M162" i="11"/>
  <c r="J162" i="11"/>
  <c r="I162" i="11"/>
  <c r="B162" i="11"/>
  <c r="K162" i="11"/>
  <c r="C162" i="11"/>
  <c r="C83" i="9"/>
  <c r="C85" i="9" s="1"/>
  <c r="B83" i="9"/>
  <c r="B85" i="9" s="1"/>
  <c r="J83" i="9"/>
  <c r="K83" i="9"/>
  <c r="K85" i="9" s="1"/>
  <c r="I84" i="9"/>
  <c r="I83" i="9"/>
  <c r="I85" i="9" s="1"/>
  <c r="G83" i="9"/>
  <c r="G84" i="9"/>
  <c r="E83" i="9"/>
  <c r="E84" i="9"/>
  <c r="H83" i="9"/>
  <c r="H84" i="9"/>
  <c r="F84" i="9"/>
  <c r="F85" i="9" s="1"/>
  <c r="L83" i="9"/>
  <c r="L84" i="9"/>
  <c r="D83" i="9"/>
  <c r="D84" i="9"/>
  <c r="M83" i="9"/>
  <c r="M84" i="9"/>
  <c r="J85" i="9"/>
  <c r="H162" i="2"/>
  <c r="M161" i="2"/>
  <c r="I162" i="2"/>
  <c r="B161" i="2"/>
  <c r="J161" i="2"/>
  <c r="F161" i="2"/>
  <c r="F163" i="2" s="1"/>
  <c r="C161" i="2"/>
  <c r="K161" i="2"/>
  <c r="D161" i="2"/>
  <c r="L161" i="2"/>
  <c r="E161" i="2"/>
  <c r="M162" i="2"/>
  <c r="B162" i="2"/>
  <c r="G161" i="2"/>
  <c r="G163" i="2" s="1"/>
  <c r="H161" i="2"/>
  <c r="D162" i="2"/>
  <c r="L162" i="2"/>
  <c r="C162" i="2"/>
  <c r="K162" i="2"/>
  <c r="I161" i="2"/>
  <c r="E162" i="2"/>
  <c r="J162" i="2"/>
  <c r="J163" i="2" s="1"/>
  <c r="G85" i="9" l="1"/>
  <c r="D85" i="9"/>
  <c r="E85" i="9"/>
  <c r="L85" i="9"/>
  <c r="M85" i="9"/>
  <c r="H85" i="9"/>
  <c r="H163" i="2"/>
  <c r="I163" i="2"/>
  <c r="M163" i="2"/>
  <c r="L163" i="2"/>
  <c r="B163" i="2"/>
  <c r="D163" i="2"/>
  <c r="K163" i="2"/>
  <c r="C163" i="2"/>
  <c r="E163" i="2"/>
</calcChain>
</file>

<file path=xl/sharedStrings.xml><?xml version="1.0" encoding="utf-8"?>
<sst xmlns="http://schemas.openxmlformats.org/spreadsheetml/2006/main" count="1063" uniqueCount="54">
  <si>
    <r>
      <rPr>
        <sz val="11"/>
        <color theme="1"/>
        <rFont val="宋体"/>
        <family val="3"/>
        <charset val="134"/>
      </rPr>
      <t>测试数据分析总结</t>
    </r>
    <phoneticPr fontId="1" type="noConversion"/>
  </si>
  <si>
    <r>
      <rPr>
        <sz val="11"/>
        <color theme="1"/>
        <rFont val="宋体"/>
        <family val="3"/>
        <charset val="134"/>
      </rPr>
      <t>标准偏差</t>
    </r>
    <r>
      <rPr>
        <sz val="11"/>
        <color theme="1"/>
        <rFont val="Arial"/>
        <family val="2"/>
      </rPr>
      <t>σ</t>
    </r>
    <phoneticPr fontId="1" type="noConversion"/>
  </si>
  <si>
    <r>
      <t xml:space="preserve">       </t>
    </r>
    <r>
      <rPr>
        <sz val="11"/>
        <color theme="1"/>
        <rFont val="宋体"/>
        <family val="3"/>
        <charset val="134"/>
      </rPr>
      <t>项目</t>
    </r>
    <r>
      <rPr>
        <sz val="11"/>
        <color theme="1"/>
        <rFont val="Arial"/>
        <family val="2"/>
      </rPr>
      <t xml:space="preserve">       </t>
    </r>
    <r>
      <rPr>
        <sz val="11"/>
        <color theme="1"/>
        <rFont val="宋体"/>
        <family val="3"/>
        <charset val="134"/>
      </rPr>
      <t>灌装工位</t>
    </r>
    <phoneticPr fontId="1" type="noConversion"/>
  </si>
  <si>
    <r>
      <t xml:space="preserve">   </t>
    </r>
    <r>
      <rPr>
        <sz val="11"/>
        <color theme="1"/>
        <rFont val="宋体"/>
        <family val="3"/>
        <charset val="134"/>
      </rPr>
      <t>样本数</t>
    </r>
    <r>
      <rPr>
        <sz val="11"/>
        <color theme="1"/>
        <rFont val="Arial"/>
        <family val="2"/>
      </rPr>
      <t xml:space="preserve">      </t>
    </r>
    <r>
      <rPr>
        <sz val="11"/>
        <color theme="1"/>
        <rFont val="宋体"/>
        <family val="3"/>
        <charset val="134"/>
      </rPr>
      <t>灌装工位</t>
    </r>
    <phoneticPr fontId="1" type="noConversion"/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</si>
  <si>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 xml:space="preserve">2
  </t>
    </r>
    <r>
      <rPr>
        <sz val="11"/>
        <color theme="1"/>
        <rFont val="宋体"/>
        <family val="3"/>
        <charset val="134"/>
      </rPr>
      <t>灌装量（</t>
    </r>
    <r>
      <rPr>
        <sz val="11"/>
        <color theme="1"/>
        <rFont val="Arial"/>
        <family val="2"/>
      </rPr>
      <t>g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</si>
  <si>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 xml:space="preserve">3
  </t>
    </r>
    <r>
      <rPr>
        <sz val="11"/>
        <color theme="1"/>
        <rFont val="宋体"/>
        <family val="3"/>
        <charset val="134"/>
      </rPr>
      <t>灌装量（</t>
    </r>
    <r>
      <rPr>
        <sz val="11"/>
        <color theme="1"/>
        <rFont val="Arial"/>
        <family val="2"/>
      </rPr>
      <t>g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</si>
  <si>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 xml:space="preserve">4
  </t>
    </r>
    <r>
      <rPr>
        <sz val="11"/>
        <color theme="1"/>
        <rFont val="宋体"/>
        <family val="3"/>
        <charset val="134"/>
      </rPr>
      <t>灌装量（</t>
    </r>
    <r>
      <rPr>
        <sz val="11"/>
        <color theme="1"/>
        <rFont val="Arial"/>
        <family val="2"/>
      </rPr>
      <t>g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</si>
  <si>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 xml:space="preserve">5
  </t>
    </r>
    <r>
      <rPr>
        <sz val="11"/>
        <color theme="1"/>
        <rFont val="宋体"/>
        <family val="3"/>
        <charset val="134"/>
      </rPr>
      <t>灌装量（</t>
    </r>
    <r>
      <rPr>
        <sz val="11"/>
        <color theme="1"/>
        <rFont val="Arial"/>
        <family val="2"/>
      </rPr>
      <t>g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</si>
  <si>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 xml:space="preserve">6
  </t>
    </r>
    <r>
      <rPr>
        <sz val="11"/>
        <color theme="1"/>
        <rFont val="宋体"/>
        <family val="3"/>
        <charset val="134"/>
      </rPr>
      <t>灌装量（</t>
    </r>
    <r>
      <rPr>
        <sz val="11"/>
        <color theme="1"/>
        <rFont val="Arial"/>
        <family val="2"/>
      </rPr>
      <t>g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</si>
  <si>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 xml:space="preserve">7
  </t>
    </r>
    <r>
      <rPr>
        <sz val="11"/>
        <color theme="1"/>
        <rFont val="宋体"/>
        <family val="3"/>
        <charset val="134"/>
      </rPr>
      <t>灌装量（</t>
    </r>
    <r>
      <rPr>
        <sz val="11"/>
        <color theme="1"/>
        <rFont val="Arial"/>
        <family val="2"/>
      </rPr>
      <t>g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</si>
  <si>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 xml:space="preserve">8
  </t>
    </r>
    <r>
      <rPr>
        <sz val="11"/>
        <color theme="1"/>
        <rFont val="宋体"/>
        <family val="3"/>
        <charset val="134"/>
      </rPr>
      <t>灌装量（</t>
    </r>
    <r>
      <rPr>
        <sz val="11"/>
        <color theme="1"/>
        <rFont val="Arial"/>
        <family val="2"/>
      </rPr>
      <t>g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</si>
  <si>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 xml:space="preserve">9
  </t>
    </r>
    <r>
      <rPr>
        <sz val="11"/>
        <color theme="1"/>
        <rFont val="宋体"/>
        <family val="3"/>
        <charset val="134"/>
      </rPr>
      <t>灌装量（</t>
    </r>
    <r>
      <rPr>
        <sz val="11"/>
        <color theme="1"/>
        <rFont val="Arial"/>
        <family val="2"/>
      </rPr>
      <t>g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</si>
  <si>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 xml:space="preserve">10
  </t>
    </r>
    <r>
      <rPr>
        <sz val="11"/>
        <color theme="1"/>
        <rFont val="宋体"/>
        <family val="3"/>
        <charset val="134"/>
      </rPr>
      <t>灌装量（</t>
    </r>
    <r>
      <rPr>
        <sz val="11"/>
        <color theme="1"/>
        <rFont val="Arial"/>
        <family val="2"/>
      </rPr>
      <t>g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</si>
  <si>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 xml:space="preserve">11
  </t>
    </r>
    <r>
      <rPr>
        <sz val="11"/>
        <color theme="1"/>
        <rFont val="宋体"/>
        <family val="3"/>
        <charset val="134"/>
      </rPr>
      <t>灌装量（</t>
    </r>
    <r>
      <rPr>
        <sz val="11"/>
        <color theme="1"/>
        <rFont val="Arial"/>
        <family val="2"/>
      </rPr>
      <t>g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</si>
  <si>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 xml:space="preserve">12
  </t>
    </r>
    <r>
      <rPr>
        <sz val="11"/>
        <color theme="1"/>
        <rFont val="宋体"/>
        <family val="3"/>
        <charset val="134"/>
      </rPr>
      <t>灌装量（</t>
    </r>
    <r>
      <rPr>
        <sz val="11"/>
        <color theme="1"/>
        <rFont val="Arial"/>
        <family val="2"/>
      </rPr>
      <t>g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</si>
  <si>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>2</t>
    </r>
    <phoneticPr fontId="1" type="noConversion"/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</si>
  <si>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>5</t>
    </r>
    <phoneticPr fontId="1" type="noConversion"/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</si>
  <si>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 xml:space="preserve">1
  </t>
    </r>
    <r>
      <rPr>
        <sz val="11"/>
        <color theme="1"/>
        <rFont val="宋体"/>
        <family val="3"/>
        <charset val="134"/>
      </rPr>
      <t>灌装量（</t>
    </r>
    <r>
      <rPr>
        <sz val="11"/>
        <color theme="1"/>
        <rFont val="Arial"/>
        <family val="2"/>
      </rPr>
      <t>g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</si>
  <si>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>1</t>
    </r>
    <phoneticPr fontId="1" type="noConversion"/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</si>
  <si>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>3</t>
    </r>
    <phoneticPr fontId="1" type="noConversion"/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</si>
  <si>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>4</t>
    </r>
    <phoneticPr fontId="1" type="noConversion"/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</si>
  <si>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>6</t>
    </r>
    <phoneticPr fontId="1" type="noConversion"/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</si>
  <si>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>7</t>
    </r>
    <phoneticPr fontId="1" type="noConversion"/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</si>
  <si>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>8</t>
    </r>
    <phoneticPr fontId="1" type="noConversion"/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</si>
  <si>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>9</t>
    </r>
    <phoneticPr fontId="1" type="noConversion"/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</si>
  <si>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>10</t>
    </r>
    <phoneticPr fontId="1" type="noConversion"/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</si>
  <si>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>11</t>
    </r>
    <phoneticPr fontId="1" type="noConversion"/>
  </si>
  <si>
    <r>
      <rPr>
        <sz val="11"/>
        <color theme="1"/>
        <rFont val="宋体"/>
        <family val="3"/>
        <charset val="134"/>
      </rPr>
      <t>灌装工位</t>
    </r>
    <r>
      <rPr>
        <sz val="11"/>
        <color theme="1"/>
        <rFont val="Arial"/>
        <family val="2"/>
      </rPr>
      <t>12</t>
    </r>
    <phoneticPr fontId="1" type="noConversion"/>
  </si>
  <si>
    <r>
      <rPr>
        <sz val="11"/>
        <color theme="1"/>
        <rFont val="宋体"/>
        <family val="3"/>
        <charset val="134"/>
      </rPr>
      <t>平均装量（</t>
    </r>
    <r>
      <rPr>
        <sz val="11"/>
        <color theme="1"/>
        <rFont val="Arial"/>
        <family val="2"/>
      </rPr>
      <t>g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Arial"/>
        <family val="2"/>
      </rPr>
      <t>AVG</t>
    </r>
    <phoneticPr fontId="1" type="noConversion"/>
  </si>
  <si>
    <r>
      <rPr>
        <sz val="11"/>
        <color theme="1"/>
        <rFont val="宋体"/>
        <family val="3"/>
        <charset val="134"/>
      </rPr>
      <t>最小装量（</t>
    </r>
    <r>
      <rPr>
        <sz val="11"/>
        <color theme="1"/>
        <rFont val="Arial"/>
        <family val="2"/>
      </rPr>
      <t>g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Arial"/>
        <family val="2"/>
      </rPr>
      <t>MIN</t>
    </r>
    <phoneticPr fontId="1" type="noConversion"/>
  </si>
  <si>
    <r>
      <rPr>
        <sz val="11"/>
        <color theme="1"/>
        <rFont val="宋体"/>
        <family val="3"/>
        <charset val="134"/>
      </rPr>
      <t>最大装量（</t>
    </r>
    <r>
      <rPr>
        <sz val="11"/>
        <color theme="1"/>
        <rFont val="Arial"/>
        <family val="2"/>
      </rPr>
      <t>g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Arial"/>
        <family val="2"/>
      </rPr>
      <t>MAX</t>
    </r>
    <phoneticPr fontId="1" type="noConversion"/>
  </si>
  <si>
    <t>制表人：</t>
    <phoneticPr fontId="1" type="noConversion"/>
  </si>
  <si>
    <t>日期：</t>
    <phoneticPr fontId="1" type="noConversion"/>
  </si>
  <si>
    <t>3σ</t>
    <phoneticPr fontId="1" type="noConversion"/>
  </si>
  <si>
    <t>(USL-AVG)/3σ</t>
    <phoneticPr fontId="1" type="noConversion"/>
  </si>
  <si>
    <t>(AVG-LSL)/3σ</t>
    <phoneticPr fontId="1" type="noConversion"/>
  </si>
  <si>
    <r>
      <t>C</t>
    </r>
    <r>
      <rPr>
        <vertAlign val="subscript"/>
        <sz val="11"/>
        <color theme="1"/>
        <rFont val="Arial"/>
        <family val="2"/>
      </rPr>
      <t>pK</t>
    </r>
    <phoneticPr fontId="1" type="noConversion"/>
  </si>
  <si>
    <r>
      <t xml:space="preserve">7.2-A2-1 </t>
    </r>
    <r>
      <rPr>
        <sz val="11"/>
        <color theme="1"/>
        <rFont val="宋体"/>
        <family val="3"/>
        <charset val="134"/>
      </rPr>
      <t>灌装工艺过程控制研究记录</t>
    </r>
    <r>
      <rPr>
        <sz val="11"/>
        <color theme="1"/>
        <rFont val="Arial"/>
        <family val="2"/>
      </rPr>
      <t>-</t>
    </r>
    <r>
      <rPr>
        <sz val="11"/>
        <color theme="1"/>
        <rFont val="宋体"/>
        <family val="3"/>
        <charset val="134"/>
      </rPr>
      <t>注射用丁二磺酸腺苷蛋氨酸</t>
    </r>
    <r>
      <rPr>
        <sz val="11"/>
        <color theme="1"/>
        <rFont val="Arial"/>
        <family val="2"/>
      </rPr>
      <t>0.5g</t>
    </r>
    <r>
      <rPr>
        <sz val="11"/>
        <color theme="1"/>
        <rFont val="宋体"/>
        <family val="3"/>
        <charset val="134"/>
      </rPr>
      <t>（一致性评价）测试数据</t>
    </r>
    <phoneticPr fontId="1" type="noConversion"/>
  </si>
  <si>
    <t>数据量</t>
    <phoneticPr fontId="1" type="noConversion"/>
  </si>
  <si>
    <r>
      <t xml:space="preserve">7.2-A2-4 </t>
    </r>
    <r>
      <rPr>
        <sz val="11"/>
        <color theme="1"/>
        <rFont val="宋体"/>
        <family val="3"/>
        <charset val="134"/>
      </rPr>
      <t>灌装工艺过程控制研究记录</t>
    </r>
    <r>
      <rPr>
        <sz val="11"/>
        <color theme="1"/>
        <rFont val="Arial"/>
        <family val="2"/>
      </rPr>
      <t>-</t>
    </r>
    <r>
      <rPr>
        <sz val="11"/>
        <color theme="1"/>
        <rFont val="宋体"/>
        <family val="3"/>
        <charset val="134"/>
      </rPr>
      <t>注射用谷胱甘肽</t>
    </r>
    <r>
      <rPr>
        <sz val="11"/>
        <color theme="1"/>
        <rFont val="Arial"/>
        <family val="2"/>
      </rPr>
      <t>0.6g</t>
    </r>
    <r>
      <rPr>
        <sz val="11"/>
        <color theme="1"/>
        <rFont val="宋体"/>
        <family val="3"/>
        <charset val="134"/>
      </rPr>
      <t>（商业化）测试数据</t>
    </r>
    <phoneticPr fontId="1" type="noConversion"/>
  </si>
  <si>
    <r>
      <t xml:space="preserve">7.2-A2-3 </t>
    </r>
    <r>
      <rPr>
        <sz val="11"/>
        <color theme="1"/>
        <rFont val="宋体"/>
        <family val="3"/>
        <charset val="134"/>
      </rPr>
      <t>灌装工艺过程控制研究记录</t>
    </r>
    <r>
      <rPr>
        <sz val="11"/>
        <color theme="1"/>
        <rFont val="Arial"/>
        <family val="2"/>
      </rPr>
      <t>-</t>
    </r>
    <r>
      <rPr>
        <sz val="11"/>
        <color theme="1"/>
        <rFont val="宋体"/>
        <family val="3"/>
        <charset val="134"/>
      </rPr>
      <t>注射用替加环素</t>
    </r>
    <r>
      <rPr>
        <sz val="11"/>
        <color theme="1"/>
        <rFont val="Arial"/>
        <family val="2"/>
      </rPr>
      <t>50mg</t>
    </r>
    <r>
      <rPr>
        <sz val="11"/>
        <color theme="1"/>
        <rFont val="宋体"/>
        <family val="3"/>
        <charset val="134"/>
      </rPr>
      <t>（一致性评价）测试数据</t>
    </r>
    <phoneticPr fontId="1" type="noConversion"/>
  </si>
  <si>
    <r>
      <rPr>
        <b/>
        <sz val="11"/>
        <color theme="1"/>
        <rFont val="微软雅黑"/>
        <family val="2"/>
        <charset val="134"/>
      </rPr>
      <t>灌装量在</t>
    </r>
    <r>
      <rPr>
        <b/>
        <sz val="11"/>
        <color theme="1"/>
        <rFont val="Arial"/>
        <family val="2"/>
      </rPr>
      <t>±2%</t>
    </r>
    <r>
      <rPr>
        <b/>
        <sz val="11"/>
        <color theme="1"/>
        <rFont val="微软雅黑"/>
        <family val="2"/>
        <charset val="134"/>
      </rPr>
      <t>范围内数量</t>
    </r>
    <phoneticPr fontId="1" type="noConversion"/>
  </si>
  <si>
    <r>
      <rPr>
        <b/>
        <sz val="11"/>
        <color theme="1"/>
        <rFont val="微软雅黑"/>
        <family val="2"/>
        <charset val="134"/>
      </rPr>
      <t>灌装量在</t>
    </r>
    <r>
      <rPr>
        <b/>
        <sz val="11"/>
        <color theme="1"/>
        <rFont val="Arial"/>
        <family val="2"/>
      </rPr>
      <t>±3%</t>
    </r>
    <r>
      <rPr>
        <b/>
        <sz val="11"/>
        <color theme="1"/>
        <rFont val="微软雅黑"/>
        <family val="2"/>
        <charset val="134"/>
      </rPr>
      <t>范围内数量</t>
    </r>
    <phoneticPr fontId="1" type="noConversion"/>
  </si>
  <si>
    <r>
      <rPr>
        <b/>
        <sz val="11"/>
        <color theme="1"/>
        <rFont val="微软雅黑"/>
        <family val="2"/>
        <charset val="134"/>
      </rPr>
      <t>灌装量在</t>
    </r>
    <r>
      <rPr>
        <b/>
        <sz val="11"/>
        <color theme="1"/>
        <rFont val="Arial"/>
        <family val="2"/>
      </rPr>
      <t>±5%</t>
    </r>
    <r>
      <rPr>
        <b/>
        <sz val="11"/>
        <color theme="1"/>
        <rFont val="微软雅黑"/>
        <family val="2"/>
        <charset val="134"/>
      </rPr>
      <t>范围内数量</t>
    </r>
    <phoneticPr fontId="1" type="noConversion"/>
  </si>
  <si>
    <t>灌装量在±2%范围内数据所量占比例</t>
    <phoneticPr fontId="1" type="noConversion"/>
  </si>
  <si>
    <t>用户名</t>
  </si>
  <si>
    <t>wangrenjie</t>
  </si>
  <si>
    <t>(wangrenjie)</t>
  </si>
  <si>
    <t>时间</t>
    <phoneticPr fontId="1" type="noConversion"/>
  </si>
  <si>
    <t>日期</t>
    <phoneticPr fontId="1" type="noConversion"/>
  </si>
  <si>
    <t>wangrenjie</t>
    <phoneticPr fontId="1" type="noConversion"/>
  </si>
  <si>
    <t>2024-04-08,</t>
  </si>
  <si>
    <t>2024-10-31,</t>
  </si>
  <si>
    <t>(wangrenjie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</si>
</sst>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0.000_);[Red]\(0.000\)"/>
    <numFmt numFmtId="178" formatCode="0.000"/>
    <numFmt numFmtId="179" formatCode="0_);[Red]\(0\)"/>
    <numFmt numFmtId="180" formatCode="0.0%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Arial"/>
      <family val="2"/>
    </font>
    <font>
      <sz val="11"/>
      <color theme="1"/>
      <name val="Calibri"/>
      <family val="2"/>
    </font>
    <font>
      <vertAlign val="subscript"/>
      <sz val="11"/>
      <color theme="1"/>
      <name val="Arial"/>
      <family val="2"/>
    </font>
    <font>
      <sz val="11"/>
      <color theme="1"/>
      <name val="等线"/>
      <family val="2"/>
      <scheme val="minor"/>
    </font>
    <font>
      <sz val="11"/>
      <color rgb="FFFF0000"/>
      <name val="Arial"/>
      <family val="2"/>
    </font>
    <font>
      <sz val="11"/>
      <name val="Arial"/>
      <family val="2"/>
    </font>
    <font>
      <b/>
      <sz val="11"/>
      <color theme="1"/>
      <name val="微软雅黑"/>
      <family val="2"/>
      <charset val="134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134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3">
    <xf numFmtId="0" fontId="0" fillId="0" borderId="0"/>
    <xf numFmtId="0" fontId="4" fillId="0" borderId="0"/>
    <xf numFmtId="9" fontId="6" fillId="0" borderId="0" applyFont="0" applyFill="0" applyBorder="0" applyAlignment="0" applyProtection="0">
      <alignment vertical="center"/>
    </xf>
  </cellStyleXfs>
  <cellXfs count="33">
    <xf numFmtId="0" fontId="0" fillId="0" borderId="0" xfId="0"/>
    <xf numFmtId="0" fontId="3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0" xfId="0" applyNumberFormat="1" applyFont="1"/>
    <xf numFmtId="0" fontId="3" fillId="0" borderId="0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/>
    </xf>
    <xf numFmtId="177" fontId="3" fillId="0" borderId="1" xfId="0" applyNumberFormat="1" applyFont="1" applyFill="1" applyBorder="1" applyAlignment="1">
      <alignment horizontal="center"/>
    </xf>
    <xf numFmtId="0" fontId="2" fillId="0" borderId="0" xfId="0" applyFont="1"/>
    <xf numFmtId="176" fontId="3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1" fontId="3" fillId="0" borderId="0" xfId="0" applyNumberFormat="1" applyFont="1"/>
    <xf numFmtId="14" fontId="3" fillId="0" borderId="0" xfId="0" applyNumberFormat="1" applyFont="1"/>
    <xf numFmtId="58" fontId="3" fillId="0" borderId="0" xfId="0" applyNumberFormat="1" applyFont="1"/>
    <xf numFmtId="177" fontId="3" fillId="0" borderId="0" xfId="0" applyNumberFormat="1" applyFont="1" applyFill="1" applyBorder="1" applyAlignment="1">
      <alignment horizontal="center"/>
    </xf>
    <xf numFmtId="177" fontId="7" fillId="0" borderId="1" xfId="0" applyNumberFormat="1" applyFont="1" applyFill="1" applyBorder="1" applyAlignment="1">
      <alignment horizontal="center"/>
    </xf>
    <xf numFmtId="177" fontId="7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179" fontId="3" fillId="0" borderId="0" xfId="0" applyNumberFormat="1" applyFont="1"/>
    <xf numFmtId="0" fontId="9" fillId="0" borderId="0" xfId="0" applyFont="1" applyBorder="1" applyAlignment="1">
      <alignment horizontal="center" vertical="center"/>
    </xf>
    <xf numFmtId="179" fontId="10" fillId="0" borderId="0" xfId="0" applyNumberFormat="1" applyFont="1" applyFill="1" applyBorder="1" applyAlignment="1">
      <alignment horizontal="center"/>
    </xf>
    <xf numFmtId="179" fontId="10" fillId="0" borderId="0" xfId="0" applyNumberFormat="1" applyFont="1"/>
    <xf numFmtId="0" fontId="11" fillId="0" borderId="0" xfId="0" applyFont="1"/>
    <xf numFmtId="0" fontId="9" fillId="0" borderId="1" xfId="0" applyFont="1" applyBorder="1" applyAlignment="1">
      <alignment horizontal="center" vertical="center" wrapText="1"/>
    </xf>
    <xf numFmtId="180" fontId="10" fillId="0" borderId="1" xfId="2" applyNumberFormat="1" applyFont="1" applyBorder="1" applyAlignment="1">
      <alignment horizontal="center" vertical="center"/>
    </xf>
    <xf numFmtId="14" fontId="0" fillId="0" borderId="0" xfId="0" applyNumberFormat="1"/>
    <xf numFmtId="21" fontId="0" fillId="0" borderId="0" xfId="0" applyNumberFormat="1"/>
    <xf numFmtId="0" fontId="12" fillId="0" borderId="0" xfId="0" applyFont="1"/>
    <xf numFmtId="178" fontId="8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百分比" xfId="2" builtinId="5"/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FCBC-B6CA-49B1-844D-C68A8A6B97FE}">
  <sheetPr>
    <pageSetUpPr fitToPage="1"/>
  </sheetPr>
  <dimension ref="A1:O172"/>
  <sheetViews>
    <sheetView tabSelected="1" showWhiteSpace="0" view="pageLayout" topLeftCell="A131" zoomScale="70" zoomScaleNormal="100" zoomScalePageLayoutView="70" workbookViewId="0">
      <selection activeCell="G160" sqref="G160"/>
    </sheetView>
  </sheetViews>
  <sheetFormatPr defaultColWidth="9" defaultRowHeight="13.8" x14ac:dyDescent="0.25"/>
  <cols>
    <col min="1" max="1" width="18.33203125" style="12" customWidth="1"/>
    <col min="2" max="10" width="9.109375" style="1" customWidth="1"/>
    <col min="11" max="11" width="9.88671875" style="1" customWidth="1"/>
    <col min="12" max="12" width="9" style="1" customWidth="1"/>
    <col min="13" max="13" width="10.33203125" style="1" customWidth="1"/>
    <col min="14" max="16384" width="9" style="1"/>
  </cols>
  <sheetData>
    <row r="1" spans="1:15" ht="23.25" customHeight="1" x14ac:dyDescent="0.25">
      <c r="A1" s="31" t="s">
        <v>37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5" ht="69.75" customHeight="1" x14ac:dyDescent="0.25">
      <c r="A2" s="2" t="s">
        <v>3</v>
      </c>
      <c r="B2" s="3" t="s">
        <v>17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</row>
    <row r="3" spans="1:15" x14ac:dyDescent="0.25">
      <c r="A3" s="4">
        <v>1</v>
      </c>
      <c r="B3" s="8"/>
      <c r="C3" s="8"/>
      <c r="D3" s="8"/>
      <c r="E3" s="8"/>
      <c r="F3" s="8"/>
      <c r="G3" s="8"/>
      <c r="H3" s="17"/>
      <c r="I3" s="17"/>
      <c r="J3" s="18"/>
      <c r="K3" s="17"/>
      <c r="L3" s="17"/>
      <c r="M3" s="17"/>
    </row>
    <row r="4" spans="1:15" x14ac:dyDescent="0.25">
      <c r="A4" s="4">
        <v>2</v>
      </c>
      <c r="B4">
        <v>5.0039999999999996</v>
      </c>
      <c r="C4">
        <v>5.0759999999999996</v>
      </c>
      <c r="D4">
        <v>4.9390000000000001</v>
      </c>
      <c r="E4">
        <v>4.9640000000000004</v>
      </c>
      <c r="F4">
        <v>4.9640000000000004</v>
      </c>
      <c r="G4">
        <v>4.952</v>
      </c>
      <c r="H4">
        <v>4.9420000000000002</v>
      </c>
      <c r="I4">
        <v>4.9000000000000004</v>
      </c>
      <c r="J4">
        <v>4.9400000000000004</v>
      </c>
      <c r="K4">
        <v>4.8869999999999996</v>
      </c>
      <c r="L4">
        <v>4.96</v>
      </c>
      <c r="M4">
        <v>4.93</v>
      </c>
    </row>
    <row r="5" spans="1:15" x14ac:dyDescent="0.25">
      <c r="A5" s="4">
        <v>3</v>
      </c>
      <c r="B5">
        <v>5.0449999999999999</v>
      </c>
      <c r="C5">
        <v>5.0190000000000001</v>
      </c>
      <c r="D5">
        <v>5.0110000000000001</v>
      </c>
      <c r="E5">
        <v>5.0149999999999997</v>
      </c>
      <c r="F5">
        <v>5.0190000000000001</v>
      </c>
      <c r="G5">
        <v>5</v>
      </c>
      <c r="H5">
        <v>5.024</v>
      </c>
      <c r="I5">
        <v>5.0810000000000004</v>
      </c>
      <c r="J5">
        <v>5.0279999999999996</v>
      </c>
      <c r="K5">
        <v>5.085</v>
      </c>
      <c r="L5">
        <v>5.0270000000000001</v>
      </c>
      <c r="M5">
        <v>4.9859999999999998</v>
      </c>
    </row>
    <row r="6" spans="1:15" x14ac:dyDescent="0.25">
      <c r="A6" s="4">
        <v>4</v>
      </c>
      <c r="B6">
        <v>5.0510000000000002</v>
      </c>
      <c r="C6">
        <v>5.0579999999999998</v>
      </c>
      <c r="D6">
        <v>5.0510000000000002</v>
      </c>
      <c r="E6">
        <v>5.0119999999999996</v>
      </c>
      <c r="F6">
        <v>5.0549999999999997</v>
      </c>
      <c r="G6">
        <v>5.01</v>
      </c>
      <c r="H6">
        <v>5.0279999999999996</v>
      </c>
      <c r="I6">
        <v>5.0359999999999996</v>
      </c>
      <c r="J6">
        <v>5.0540000000000003</v>
      </c>
      <c r="K6">
        <v>5.0629999999999997</v>
      </c>
      <c r="L6">
        <v>5.0460000000000003</v>
      </c>
      <c r="M6">
        <v>5.0389999999999997</v>
      </c>
    </row>
    <row r="7" spans="1:15" x14ac:dyDescent="0.25">
      <c r="A7" s="4">
        <v>5</v>
      </c>
      <c r="B7">
        <v>5.0759999999999996</v>
      </c>
      <c r="C7">
        <v>5.07</v>
      </c>
      <c r="D7">
        <v>5.0629999999999997</v>
      </c>
      <c r="E7">
        <v>5.0430000000000001</v>
      </c>
      <c r="F7">
        <v>5.0439999999999996</v>
      </c>
      <c r="G7">
        <v>5.032</v>
      </c>
      <c r="H7">
        <v>5.0119999999999996</v>
      </c>
      <c r="I7">
        <v>5.0049999999999999</v>
      </c>
      <c r="J7">
        <v>5.0810000000000004</v>
      </c>
      <c r="K7">
        <v>5.0590000000000002</v>
      </c>
      <c r="L7">
        <v>5.0510000000000002</v>
      </c>
      <c r="M7">
        <v>5.0380000000000003</v>
      </c>
    </row>
    <row r="8" spans="1:15" x14ac:dyDescent="0.25">
      <c r="A8" s="4">
        <v>6</v>
      </c>
      <c r="B8">
        <v>4.992</v>
      </c>
      <c r="C8">
        <v>4.9809999999999999</v>
      </c>
      <c r="D8">
        <v>4.9980000000000002</v>
      </c>
      <c r="E8">
        <v>5.0229999999999997</v>
      </c>
      <c r="F8">
        <v>4.9960000000000004</v>
      </c>
      <c r="G8">
        <v>5.0010000000000003</v>
      </c>
      <c r="H8">
        <v>4.976</v>
      </c>
      <c r="I8">
        <v>4.9729999999999999</v>
      </c>
      <c r="J8">
        <v>4.9790000000000001</v>
      </c>
      <c r="K8">
        <v>4.9889999999999999</v>
      </c>
      <c r="L8">
        <v>5.0140000000000002</v>
      </c>
      <c r="M8">
        <v>5.0170000000000003</v>
      </c>
    </row>
    <row r="9" spans="1:15" x14ac:dyDescent="0.25">
      <c r="A9" s="4">
        <v>7</v>
      </c>
      <c r="B9">
        <v>4.9909999999999997</v>
      </c>
      <c r="C9">
        <v>4.9930000000000003</v>
      </c>
      <c r="D9">
        <v>5.0049999999999999</v>
      </c>
      <c r="E9">
        <v>5.0129999999999999</v>
      </c>
      <c r="F9">
        <v>5.0250000000000004</v>
      </c>
      <c r="G9">
        <v>4.9980000000000002</v>
      </c>
      <c r="H9">
        <v>4.9850000000000003</v>
      </c>
      <c r="I9">
        <v>5</v>
      </c>
      <c r="J9">
        <v>5.0010000000000003</v>
      </c>
      <c r="K9">
        <v>4.9710000000000001</v>
      </c>
      <c r="L9">
        <v>5.0030000000000001</v>
      </c>
      <c r="M9">
        <v>4.9779999999999998</v>
      </c>
    </row>
    <row r="10" spans="1:15" x14ac:dyDescent="0.25">
      <c r="A10" s="4">
        <v>8</v>
      </c>
      <c r="B10">
        <v>5.0140000000000002</v>
      </c>
      <c r="C10">
        <v>5.0010000000000003</v>
      </c>
      <c r="D10">
        <v>4.9969999999999999</v>
      </c>
      <c r="E10">
        <v>5.0259999999999998</v>
      </c>
      <c r="F10">
        <v>5.0140000000000002</v>
      </c>
      <c r="G10">
        <v>4.9909999999999997</v>
      </c>
      <c r="H10">
        <v>5.0170000000000003</v>
      </c>
      <c r="I10">
        <v>4.9969999999999999</v>
      </c>
      <c r="J10">
        <v>5.0309999999999997</v>
      </c>
      <c r="K10">
        <v>5.0149999999999997</v>
      </c>
      <c r="L10">
        <v>4.9850000000000003</v>
      </c>
      <c r="M10">
        <v>5.0010000000000003</v>
      </c>
    </row>
    <row r="11" spans="1:15" x14ac:dyDescent="0.25">
      <c r="A11" s="4">
        <v>9</v>
      </c>
      <c r="B11">
        <v>5.0030000000000001</v>
      </c>
      <c r="C11">
        <v>4.9880000000000004</v>
      </c>
      <c r="D11">
        <v>4.9980000000000002</v>
      </c>
      <c r="E11">
        <v>4.9850000000000003</v>
      </c>
      <c r="F11">
        <v>4.9740000000000002</v>
      </c>
      <c r="G11">
        <v>4.9820000000000002</v>
      </c>
      <c r="H11"/>
      <c r="I11"/>
      <c r="J11"/>
      <c r="K11"/>
      <c r="L11"/>
      <c r="M11"/>
      <c r="O11" s="13"/>
    </row>
    <row r="12" spans="1:15" x14ac:dyDescent="0.25">
      <c r="A12" s="4">
        <v>10</v>
      </c>
      <c r="B12">
        <v>4.9880000000000004</v>
      </c>
      <c r="C12">
        <v>4.9980000000000002</v>
      </c>
      <c r="D12">
        <v>5.01</v>
      </c>
      <c r="E12">
        <v>4.9640000000000004</v>
      </c>
      <c r="F12">
        <v>5.0190000000000001</v>
      </c>
      <c r="G12">
        <v>4.976</v>
      </c>
      <c r="H12">
        <v>5.0199999999999996</v>
      </c>
      <c r="I12">
        <v>4.9790000000000001</v>
      </c>
      <c r="J12">
        <v>5.0199999999999996</v>
      </c>
      <c r="K12">
        <v>4.9870000000000001</v>
      </c>
      <c r="L12">
        <v>4.952</v>
      </c>
      <c r="M12">
        <v>4.992</v>
      </c>
      <c r="N12" s="14"/>
      <c r="O12" s="13"/>
    </row>
    <row r="13" spans="1:15" x14ac:dyDescent="0.25">
      <c r="A13" s="4">
        <v>11</v>
      </c>
      <c r="B13">
        <v>5.0170000000000003</v>
      </c>
      <c r="C13">
        <v>5.008</v>
      </c>
      <c r="D13">
        <v>5.0190000000000001</v>
      </c>
      <c r="E13">
        <v>4.9729999999999999</v>
      </c>
      <c r="F13">
        <v>4.992</v>
      </c>
      <c r="G13">
        <v>5.0110000000000001</v>
      </c>
      <c r="H13">
        <v>5.0010000000000003</v>
      </c>
      <c r="I13">
        <v>5.0209999999999999</v>
      </c>
      <c r="J13">
        <v>4.9850000000000003</v>
      </c>
      <c r="K13">
        <v>5.008</v>
      </c>
      <c r="L13">
        <v>4.976</v>
      </c>
      <c r="M13">
        <v>5.0110000000000001</v>
      </c>
      <c r="N13" s="14"/>
      <c r="O13" s="13"/>
    </row>
    <row r="14" spans="1:15" x14ac:dyDescent="0.25">
      <c r="A14" s="4">
        <v>12</v>
      </c>
      <c r="B14">
        <v>5.008</v>
      </c>
      <c r="C14">
        <v>5.016</v>
      </c>
      <c r="D14">
        <v>4.9749999999999996</v>
      </c>
      <c r="E14">
        <v>4.9969999999999999</v>
      </c>
      <c r="F14">
        <v>5.0119999999999996</v>
      </c>
      <c r="G14">
        <v>5.0090000000000003</v>
      </c>
      <c r="H14">
        <v>4.9850000000000003</v>
      </c>
      <c r="I14">
        <v>5.016</v>
      </c>
      <c r="J14">
        <v>5</v>
      </c>
      <c r="K14">
        <v>5.0060000000000002</v>
      </c>
      <c r="L14">
        <v>4.9710000000000001</v>
      </c>
      <c r="M14">
        <v>4.97</v>
      </c>
      <c r="N14" s="14"/>
      <c r="O14" s="13"/>
    </row>
    <row r="15" spans="1:15" x14ac:dyDescent="0.25">
      <c r="A15" s="4">
        <v>13</v>
      </c>
      <c r="B15"/>
      <c r="C15"/>
      <c r="D15"/>
      <c r="E15"/>
      <c r="F15"/>
      <c r="G15"/>
      <c r="H15">
        <v>4.9569999999999999</v>
      </c>
      <c r="I15">
        <v>4.9649999999999999</v>
      </c>
      <c r="J15">
        <v>4.99</v>
      </c>
      <c r="K15">
        <v>4.9960000000000004</v>
      </c>
      <c r="L15">
        <v>4.9749999999999996</v>
      </c>
      <c r="M15">
        <v>4.9660000000000002</v>
      </c>
      <c r="N15" s="14"/>
      <c r="O15" s="13"/>
    </row>
    <row r="16" spans="1:15" x14ac:dyDescent="0.25">
      <c r="A16" s="4">
        <v>14</v>
      </c>
      <c r="B16">
        <v>5.0259999999999998</v>
      </c>
      <c r="C16">
        <v>5.0049999999999999</v>
      </c>
      <c r="D16">
        <v>4.9640000000000004</v>
      </c>
      <c r="E16">
        <v>5</v>
      </c>
      <c r="F16">
        <v>4.9969999999999999</v>
      </c>
      <c r="G16">
        <v>4.9640000000000004</v>
      </c>
      <c r="H16"/>
      <c r="I16"/>
      <c r="J16"/>
      <c r="K16"/>
      <c r="L16"/>
      <c r="M16"/>
      <c r="N16" s="14"/>
      <c r="O16" s="13"/>
    </row>
    <row r="17" spans="1:15" x14ac:dyDescent="0.25">
      <c r="A17" s="4">
        <v>15</v>
      </c>
      <c r="B17"/>
      <c r="C17"/>
      <c r="D17"/>
      <c r="E17"/>
      <c r="F17"/>
      <c r="G17"/>
      <c r="H17">
        <v>4.9539999999999997</v>
      </c>
      <c r="I17">
        <v>4.952</v>
      </c>
      <c r="J17">
        <v>5.01</v>
      </c>
      <c r="K17">
        <v>4.9859999999999998</v>
      </c>
      <c r="L17">
        <v>4.952</v>
      </c>
      <c r="M17">
        <v>4.9320000000000004</v>
      </c>
      <c r="N17" s="14"/>
      <c r="O17" s="13"/>
    </row>
    <row r="18" spans="1:15" x14ac:dyDescent="0.25">
      <c r="A18" s="4">
        <v>16</v>
      </c>
      <c r="B18">
        <v>4.9480000000000004</v>
      </c>
      <c r="C18">
        <v>4.9779999999999998</v>
      </c>
      <c r="D18">
        <v>4.9400000000000004</v>
      </c>
      <c r="E18">
        <v>4.9930000000000003</v>
      </c>
      <c r="F18">
        <v>5.0049999999999999</v>
      </c>
      <c r="G18">
        <v>4.9640000000000004</v>
      </c>
      <c r="H18">
        <v>5.0110000000000001</v>
      </c>
      <c r="I18">
        <v>4.99</v>
      </c>
      <c r="J18">
        <v>5.0199999999999996</v>
      </c>
      <c r="K18">
        <v>4.9870000000000001</v>
      </c>
      <c r="L18">
        <v>4.9729999999999999</v>
      </c>
      <c r="M18">
        <v>4.9740000000000002</v>
      </c>
      <c r="N18" s="14"/>
      <c r="O18" s="13"/>
    </row>
    <row r="19" spans="1:15" x14ac:dyDescent="0.25">
      <c r="A19" s="4">
        <v>17</v>
      </c>
      <c r="B19">
        <v>4.9269999999999996</v>
      </c>
      <c r="C19">
        <v>4.9669999999999996</v>
      </c>
      <c r="D19">
        <v>4.9160000000000004</v>
      </c>
      <c r="E19">
        <v>4.9930000000000003</v>
      </c>
      <c r="F19">
        <v>4.9580000000000002</v>
      </c>
      <c r="G19">
        <v>4.9420000000000002</v>
      </c>
      <c r="H19">
        <v>5.0270000000000001</v>
      </c>
      <c r="I19">
        <v>5.0140000000000002</v>
      </c>
      <c r="J19">
        <v>5.032</v>
      </c>
      <c r="K19">
        <v>4.9749999999999996</v>
      </c>
      <c r="L19">
        <v>5</v>
      </c>
      <c r="M19">
        <v>4.976</v>
      </c>
      <c r="N19" s="14"/>
      <c r="O19" s="13"/>
    </row>
    <row r="20" spans="1:15" x14ac:dyDescent="0.25">
      <c r="A20" s="4">
        <v>18</v>
      </c>
      <c r="B20">
        <v>4.9610000000000003</v>
      </c>
      <c r="C20">
        <v>5.0110000000000001</v>
      </c>
      <c r="D20">
        <v>4.9459999999999997</v>
      </c>
      <c r="E20">
        <v>4.9980000000000002</v>
      </c>
      <c r="F20">
        <v>4.9359999999999999</v>
      </c>
      <c r="G20">
        <v>4.9889999999999999</v>
      </c>
      <c r="H20">
        <v>5.0149999999999997</v>
      </c>
      <c r="I20">
        <v>5.0199999999999996</v>
      </c>
      <c r="J20">
        <v>4.992</v>
      </c>
      <c r="K20">
        <v>4.968</v>
      </c>
      <c r="L20">
        <v>5.0279999999999996</v>
      </c>
      <c r="M20">
        <v>5.0350000000000001</v>
      </c>
      <c r="N20" s="14"/>
      <c r="O20" s="13"/>
    </row>
    <row r="21" spans="1:15" x14ac:dyDescent="0.25">
      <c r="A21" s="4">
        <v>19</v>
      </c>
      <c r="B21">
        <v>4.99</v>
      </c>
      <c r="C21">
        <v>5.024</v>
      </c>
      <c r="D21">
        <v>4.9740000000000002</v>
      </c>
      <c r="E21">
        <v>5.0380000000000003</v>
      </c>
      <c r="F21">
        <v>4.9169999999999998</v>
      </c>
      <c r="G21">
        <v>4.9859999999999998</v>
      </c>
      <c r="H21">
        <v>4.9880000000000004</v>
      </c>
      <c r="I21">
        <v>5.016</v>
      </c>
      <c r="J21">
        <v>4.9969999999999999</v>
      </c>
      <c r="K21">
        <v>4.952</v>
      </c>
      <c r="L21">
        <v>5.0289999999999999</v>
      </c>
      <c r="M21">
        <v>5.0330000000000004</v>
      </c>
      <c r="N21" s="14"/>
      <c r="O21" s="13"/>
    </row>
    <row r="22" spans="1:15" x14ac:dyDescent="0.25">
      <c r="A22" s="4">
        <v>20</v>
      </c>
      <c r="B22">
        <v>4.9790000000000001</v>
      </c>
      <c r="C22">
        <v>4.968</v>
      </c>
      <c r="D22">
        <v>4.9749999999999996</v>
      </c>
      <c r="E22">
        <v>4.9909999999999997</v>
      </c>
      <c r="F22">
        <v>4.9800000000000004</v>
      </c>
      <c r="G22">
        <v>4.9770000000000003</v>
      </c>
      <c r="H22">
        <v>4.9950000000000001</v>
      </c>
      <c r="I22">
        <v>5.0259999999999998</v>
      </c>
      <c r="J22">
        <v>5</v>
      </c>
      <c r="K22">
        <v>4.9800000000000004</v>
      </c>
      <c r="L22">
        <v>5.0049999999999999</v>
      </c>
      <c r="M22">
        <v>5.008</v>
      </c>
      <c r="N22" s="14"/>
      <c r="O22" s="13"/>
    </row>
    <row r="23" spans="1:15" x14ac:dyDescent="0.25">
      <c r="A23" s="4">
        <v>21</v>
      </c>
      <c r="B23">
        <v>5.0110000000000001</v>
      </c>
      <c r="C23">
        <v>4.976</v>
      </c>
      <c r="D23">
        <v>4.9589999999999996</v>
      </c>
      <c r="E23">
        <v>5.0209999999999999</v>
      </c>
      <c r="F23">
        <v>5.0270000000000001</v>
      </c>
      <c r="G23">
        <v>4.9770000000000003</v>
      </c>
      <c r="H23">
        <v>4.9610000000000003</v>
      </c>
      <c r="I23">
        <v>4.9950000000000001</v>
      </c>
      <c r="J23">
        <v>4.9729999999999999</v>
      </c>
      <c r="K23">
        <v>4.96</v>
      </c>
      <c r="L23">
        <v>4.9820000000000002</v>
      </c>
      <c r="M23">
        <v>4.9870000000000001</v>
      </c>
      <c r="N23" s="14"/>
      <c r="O23" s="13"/>
    </row>
    <row r="24" spans="1:15" x14ac:dyDescent="0.25">
      <c r="A24" s="4">
        <v>22</v>
      </c>
      <c r="B24">
        <v>4.9729999999999999</v>
      </c>
      <c r="C24">
        <v>4.9770000000000003</v>
      </c>
      <c r="D24">
        <v>4.9859999999999998</v>
      </c>
      <c r="E24">
        <v>5.0060000000000002</v>
      </c>
      <c r="F24">
        <v>4.97</v>
      </c>
      <c r="G24">
        <v>5.0039999999999996</v>
      </c>
      <c r="H24">
        <v>5.0209999999999999</v>
      </c>
      <c r="I24">
        <v>5.008</v>
      </c>
      <c r="J24">
        <v>5.008</v>
      </c>
      <c r="K24">
        <v>5.0289999999999999</v>
      </c>
      <c r="L24">
        <v>5.0090000000000003</v>
      </c>
      <c r="M24">
        <v>5.024</v>
      </c>
      <c r="N24" s="14"/>
      <c r="O24" s="13"/>
    </row>
    <row r="25" spans="1:15" x14ac:dyDescent="0.25">
      <c r="A25" s="4">
        <v>23</v>
      </c>
      <c r="B25">
        <v>4.9749999999999996</v>
      </c>
      <c r="C25">
        <v>4.95</v>
      </c>
      <c r="D25">
        <v>4.95</v>
      </c>
      <c r="E25">
        <v>4.9800000000000004</v>
      </c>
      <c r="F25">
        <v>4.96</v>
      </c>
      <c r="G25">
        <v>4.9939999999999998</v>
      </c>
      <c r="H25">
        <v>4.9809999999999999</v>
      </c>
      <c r="I25">
        <v>4.9800000000000004</v>
      </c>
      <c r="J25">
        <v>5.0060000000000002</v>
      </c>
      <c r="K25">
        <v>4.976</v>
      </c>
      <c r="L25">
        <v>4.9779999999999998</v>
      </c>
      <c r="M25">
        <v>4.984</v>
      </c>
      <c r="N25" s="14"/>
      <c r="O25" s="13"/>
    </row>
    <row r="26" spans="1:15" x14ac:dyDescent="0.25">
      <c r="A26" s="4">
        <v>24</v>
      </c>
      <c r="B26">
        <v>5.008</v>
      </c>
      <c r="C26">
        <v>4.9930000000000003</v>
      </c>
      <c r="D26">
        <v>4.976</v>
      </c>
      <c r="E26">
        <v>5</v>
      </c>
      <c r="F26">
        <v>5.0309999999999997</v>
      </c>
      <c r="G26">
        <v>5.0010000000000003</v>
      </c>
      <c r="H26">
        <v>4.9580000000000002</v>
      </c>
      <c r="I26">
        <v>4.9749999999999996</v>
      </c>
      <c r="J26">
        <v>4.9509999999999996</v>
      </c>
      <c r="K26">
        <v>4.9829999999999997</v>
      </c>
      <c r="L26">
        <v>4.95</v>
      </c>
      <c r="M26">
        <v>4.9649999999999999</v>
      </c>
      <c r="N26" s="14"/>
      <c r="O26" s="13"/>
    </row>
    <row r="27" spans="1:15" x14ac:dyDescent="0.25">
      <c r="A27" s="4">
        <v>25</v>
      </c>
      <c r="B27">
        <v>5.0049999999999999</v>
      </c>
      <c r="C27">
        <v>5.0030000000000001</v>
      </c>
      <c r="D27">
        <v>5.0229999999999997</v>
      </c>
      <c r="E27">
        <v>5.0039999999999996</v>
      </c>
      <c r="F27">
        <v>5.0449999999999999</v>
      </c>
      <c r="G27">
        <v>4.9909999999999997</v>
      </c>
      <c r="H27">
        <v>4.992</v>
      </c>
      <c r="I27">
        <v>5</v>
      </c>
      <c r="J27">
        <v>4.992</v>
      </c>
      <c r="K27">
        <v>5.0359999999999996</v>
      </c>
      <c r="L27">
        <v>4.9950000000000001</v>
      </c>
      <c r="M27">
        <v>5.0090000000000003</v>
      </c>
      <c r="N27" s="14"/>
      <c r="O27" s="13"/>
    </row>
    <row r="28" spans="1:15" x14ac:dyDescent="0.25">
      <c r="A28" s="4">
        <v>26</v>
      </c>
      <c r="B28">
        <v>5</v>
      </c>
      <c r="C28">
        <v>4.9909999999999997</v>
      </c>
      <c r="D28">
        <v>4.9960000000000004</v>
      </c>
      <c r="E28">
        <v>4.9850000000000003</v>
      </c>
      <c r="F28">
        <v>5.0270000000000001</v>
      </c>
      <c r="G28">
        <v>5.0199999999999996</v>
      </c>
      <c r="H28">
        <v>4.9939999999999998</v>
      </c>
      <c r="I28">
        <v>4.9720000000000004</v>
      </c>
      <c r="J28">
        <v>4.9749999999999996</v>
      </c>
      <c r="K28">
        <v>4.9630000000000001</v>
      </c>
      <c r="L28">
        <v>4.96</v>
      </c>
      <c r="M28">
        <v>4.9939999999999998</v>
      </c>
      <c r="N28" s="14"/>
      <c r="O28" s="13"/>
    </row>
    <row r="29" spans="1:15" x14ac:dyDescent="0.25">
      <c r="A29" s="4">
        <v>27</v>
      </c>
      <c r="B29">
        <v>4.984</v>
      </c>
      <c r="C29">
        <v>4.9939999999999998</v>
      </c>
      <c r="D29">
        <v>4.9960000000000004</v>
      </c>
      <c r="E29">
        <v>5.0039999999999996</v>
      </c>
      <c r="F29">
        <v>4.9880000000000004</v>
      </c>
      <c r="G29">
        <v>4.9960000000000004</v>
      </c>
      <c r="H29">
        <v>5.01</v>
      </c>
      <c r="I29">
        <v>4.9859999999999998</v>
      </c>
      <c r="J29">
        <v>5.024</v>
      </c>
      <c r="K29">
        <v>5.01</v>
      </c>
      <c r="L29">
        <v>4.9950000000000001</v>
      </c>
      <c r="M29">
        <v>5.0030000000000001</v>
      </c>
      <c r="N29" s="14"/>
      <c r="O29" s="13"/>
    </row>
    <row r="30" spans="1:15" x14ac:dyDescent="0.25">
      <c r="A30" s="4">
        <v>28</v>
      </c>
      <c r="B30">
        <v>5.0039999999999996</v>
      </c>
      <c r="C30">
        <v>5</v>
      </c>
      <c r="D30">
        <v>5.0330000000000004</v>
      </c>
      <c r="E30">
        <v>4.9850000000000003</v>
      </c>
      <c r="F30">
        <v>4.99</v>
      </c>
      <c r="G30">
        <v>4.9790000000000001</v>
      </c>
      <c r="H30">
        <v>5.0149999999999997</v>
      </c>
      <c r="I30">
        <v>5.0149999999999997</v>
      </c>
      <c r="J30">
        <v>4.9960000000000004</v>
      </c>
      <c r="K30">
        <v>5.0350000000000001</v>
      </c>
      <c r="L30">
        <v>4.9930000000000003</v>
      </c>
      <c r="M30">
        <v>5.0220000000000002</v>
      </c>
      <c r="N30" s="14"/>
      <c r="O30" s="13"/>
    </row>
    <row r="31" spans="1:15" x14ac:dyDescent="0.25">
      <c r="A31" s="4">
        <v>29</v>
      </c>
      <c r="B31">
        <v>4.992</v>
      </c>
      <c r="C31">
        <v>5</v>
      </c>
      <c r="D31">
        <v>5.016</v>
      </c>
      <c r="E31">
        <v>4.9880000000000004</v>
      </c>
      <c r="F31">
        <v>4.9829999999999997</v>
      </c>
      <c r="G31">
        <v>4.9809999999999999</v>
      </c>
      <c r="H31">
        <v>5.0090000000000003</v>
      </c>
      <c r="I31">
        <v>5.0110000000000001</v>
      </c>
      <c r="J31">
        <v>5.0140000000000002</v>
      </c>
      <c r="K31">
        <v>5.032</v>
      </c>
      <c r="L31">
        <v>4.9960000000000004</v>
      </c>
      <c r="M31">
        <v>4.9989999999999997</v>
      </c>
      <c r="N31" s="14"/>
      <c r="O31" s="13"/>
    </row>
    <row r="32" spans="1:15" x14ac:dyDescent="0.25">
      <c r="A32" s="4">
        <v>30</v>
      </c>
      <c r="B32">
        <v>5.0110000000000001</v>
      </c>
      <c r="C32">
        <v>4.9939999999999998</v>
      </c>
      <c r="D32">
        <v>4.968</v>
      </c>
      <c r="E32">
        <v>5.0090000000000003</v>
      </c>
      <c r="F32">
        <v>5.0519999999999996</v>
      </c>
      <c r="G32">
        <v>5.0110000000000001</v>
      </c>
      <c r="H32">
        <v>4.9960000000000004</v>
      </c>
      <c r="I32">
        <v>5</v>
      </c>
      <c r="J32">
        <v>4.9850000000000003</v>
      </c>
      <c r="K32">
        <v>4.9969999999999999</v>
      </c>
      <c r="L32">
        <v>4.9859999999999998</v>
      </c>
      <c r="M32">
        <v>4.9820000000000002</v>
      </c>
      <c r="N32" s="14"/>
      <c r="O32" s="13"/>
    </row>
    <row r="33" spans="1:15" x14ac:dyDescent="0.25">
      <c r="A33" s="4">
        <v>31</v>
      </c>
      <c r="B33">
        <v>4.9960000000000004</v>
      </c>
      <c r="C33">
        <v>5.0199999999999996</v>
      </c>
      <c r="D33">
        <v>4.9790000000000001</v>
      </c>
      <c r="E33">
        <v>4.9960000000000004</v>
      </c>
      <c r="F33">
        <v>5.0250000000000004</v>
      </c>
      <c r="G33">
        <v>5.0019999999999998</v>
      </c>
      <c r="H33">
        <v>4.9749999999999996</v>
      </c>
      <c r="I33">
        <v>4.9800000000000004</v>
      </c>
      <c r="J33">
        <v>5</v>
      </c>
      <c r="K33">
        <v>4.9539999999999997</v>
      </c>
      <c r="L33">
        <v>4.9880000000000004</v>
      </c>
      <c r="M33">
        <v>4.9660000000000002</v>
      </c>
      <c r="N33" s="14"/>
      <c r="O33" s="13"/>
    </row>
    <row r="34" spans="1:15" x14ac:dyDescent="0.25">
      <c r="A34" s="4">
        <v>32</v>
      </c>
      <c r="B34">
        <v>5.0060000000000002</v>
      </c>
      <c r="C34">
        <v>4.9969999999999999</v>
      </c>
      <c r="D34">
        <v>5.0410000000000004</v>
      </c>
      <c r="E34">
        <v>4.984</v>
      </c>
      <c r="F34">
        <v>5.0270000000000001</v>
      </c>
      <c r="G34">
        <v>4.9960000000000004</v>
      </c>
      <c r="H34">
        <v>5.0010000000000003</v>
      </c>
      <c r="I34">
        <v>4.9989999999999997</v>
      </c>
      <c r="J34">
        <v>5.0129999999999999</v>
      </c>
      <c r="K34">
        <v>5.0350000000000001</v>
      </c>
      <c r="L34">
        <v>5.0250000000000004</v>
      </c>
      <c r="M34">
        <v>5.0049999999999999</v>
      </c>
      <c r="N34" s="14"/>
      <c r="O34" s="13"/>
    </row>
    <row r="35" spans="1:15" x14ac:dyDescent="0.25">
      <c r="A35" s="4">
        <v>33</v>
      </c>
      <c r="B35"/>
      <c r="C35"/>
      <c r="D35"/>
      <c r="E35"/>
      <c r="F35"/>
      <c r="G35"/>
      <c r="H35">
        <v>4.9809999999999999</v>
      </c>
      <c r="I35">
        <v>4.9950000000000001</v>
      </c>
      <c r="J35">
        <v>5.0049999999999999</v>
      </c>
      <c r="K35">
        <v>5.0049999999999999</v>
      </c>
      <c r="L35">
        <v>5.0289999999999999</v>
      </c>
      <c r="M35">
        <v>4.99</v>
      </c>
      <c r="N35" s="14"/>
      <c r="O35" s="13"/>
    </row>
    <row r="36" spans="1:15" x14ac:dyDescent="0.25">
      <c r="A36" s="4">
        <v>34</v>
      </c>
      <c r="B36">
        <v>5.024</v>
      </c>
      <c r="C36">
        <v>5.0069999999999997</v>
      </c>
      <c r="D36">
        <v>5.0129999999999999</v>
      </c>
      <c r="E36">
        <v>4.9950000000000001</v>
      </c>
      <c r="F36">
        <v>5.0030000000000001</v>
      </c>
      <c r="G36">
        <v>4.9939999999999998</v>
      </c>
      <c r="H36">
        <v>4.99</v>
      </c>
      <c r="I36">
        <v>4.9809999999999999</v>
      </c>
      <c r="J36">
        <v>4.9790000000000001</v>
      </c>
      <c r="K36">
        <v>4.9889999999999999</v>
      </c>
      <c r="L36">
        <v>4.9569999999999999</v>
      </c>
      <c r="M36">
        <v>4.9939999999999998</v>
      </c>
      <c r="N36" s="14"/>
      <c r="O36" s="13"/>
    </row>
    <row r="37" spans="1:15" x14ac:dyDescent="0.25">
      <c r="A37" s="4">
        <v>35</v>
      </c>
      <c r="B37">
        <v>4.952</v>
      </c>
      <c r="C37">
        <v>4.9779999999999998</v>
      </c>
      <c r="D37">
        <v>4.9660000000000002</v>
      </c>
      <c r="E37">
        <v>4.9489999999999998</v>
      </c>
      <c r="F37">
        <v>4.931</v>
      </c>
      <c r="G37">
        <v>4.952</v>
      </c>
      <c r="H37">
        <v>4.9809999999999999</v>
      </c>
      <c r="I37">
        <v>5.0039999999999996</v>
      </c>
      <c r="J37">
        <v>4.9820000000000002</v>
      </c>
      <c r="K37">
        <v>4.9729999999999999</v>
      </c>
      <c r="L37">
        <v>4.9820000000000002</v>
      </c>
      <c r="M37">
        <v>4.9939999999999998</v>
      </c>
      <c r="N37" s="14"/>
      <c r="O37" s="13"/>
    </row>
    <row r="38" spans="1:15" x14ac:dyDescent="0.25">
      <c r="A38" s="4">
        <v>36</v>
      </c>
      <c r="B38">
        <v>4.9640000000000004</v>
      </c>
      <c r="C38">
        <v>4.9850000000000003</v>
      </c>
      <c r="D38">
        <v>4.9649999999999999</v>
      </c>
      <c r="E38">
        <v>4.9939999999999998</v>
      </c>
      <c r="F38">
        <v>4.9459999999999997</v>
      </c>
      <c r="G38">
        <v>4.9829999999999997</v>
      </c>
      <c r="H38">
        <v>5.0460000000000003</v>
      </c>
      <c r="I38">
        <v>5.008</v>
      </c>
      <c r="J38">
        <v>5.032</v>
      </c>
      <c r="K38">
        <v>5.0259999999999998</v>
      </c>
      <c r="L38">
        <v>5.0419999999999998</v>
      </c>
      <c r="M38">
        <v>5.0439999999999996</v>
      </c>
      <c r="N38" s="14"/>
      <c r="O38" s="13"/>
    </row>
    <row r="39" spans="1:15" x14ac:dyDescent="0.25">
      <c r="A39" s="4">
        <v>37</v>
      </c>
      <c r="B39">
        <v>5.0380000000000003</v>
      </c>
      <c r="C39">
        <v>5.01</v>
      </c>
      <c r="D39">
        <v>5.0140000000000002</v>
      </c>
      <c r="E39">
        <v>5.0149999999999997</v>
      </c>
      <c r="F39">
        <v>5.0439999999999996</v>
      </c>
      <c r="G39">
        <v>5.0220000000000002</v>
      </c>
      <c r="H39">
        <v>5.048</v>
      </c>
      <c r="I39">
        <v>5.0229999999999997</v>
      </c>
      <c r="J39">
        <v>5.016</v>
      </c>
      <c r="K39">
        <v>5.016</v>
      </c>
      <c r="L39">
        <v>5.0199999999999996</v>
      </c>
      <c r="M39">
        <v>5.0039999999999996</v>
      </c>
      <c r="N39" s="14"/>
      <c r="O39" s="13"/>
    </row>
    <row r="40" spans="1:15" x14ac:dyDescent="0.25">
      <c r="A40" s="4">
        <v>38</v>
      </c>
      <c r="B40">
        <v>5.024</v>
      </c>
      <c r="C40">
        <v>5.0279999999999996</v>
      </c>
      <c r="D40">
        <v>5.008</v>
      </c>
      <c r="E40">
        <v>4.9980000000000002</v>
      </c>
      <c r="F40">
        <v>5.0229999999999997</v>
      </c>
      <c r="G40">
        <v>5.0410000000000004</v>
      </c>
      <c r="H40">
        <v>4.9379999999999997</v>
      </c>
      <c r="I40">
        <v>4.97</v>
      </c>
      <c r="J40">
        <v>4.9729999999999999</v>
      </c>
      <c r="K40">
        <v>4.9269999999999996</v>
      </c>
      <c r="L40">
        <v>4.9249999999999998</v>
      </c>
      <c r="M40">
        <v>4.9370000000000003</v>
      </c>
      <c r="N40" s="14"/>
      <c r="O40" s="13"/>
    </row>
    <row r="41" spans="1:15" x14ac:dyDescent="0.25">
      <c r="A41" s="4">
        <v>39</v>
      </c>
      <c r="B41">
        <v>4.9749999999999996</v>
      </c>
      <c r="C41">
        <v>4.9909999999999997</v>
      </c>
      <c r="D41">
        <v>4.9710000000000001</v>
      </c>
      <c r="E41">
        <v>4.9960000000000004</v>
      </c>
      <c r="F41">
        <v>4.9880000000000004</v>
      </c>
      <c r="G41">
        <v>4.976</v>
      </c>
      <c r="H41">
        <v>4.9569999999999999</v>
      </c>
      <c r="I41">
        <v>4.9800000000000004</v>
      </c>
      <c r="J41">
        <v>4.9989999999999997</v>
      </c>
      <c r="K41">
        <v>4.9539999999999997</v>
      </c>
      <c r="L41">
        <v>4.97</v>
      </c>
      <c r="M41">
        <v>4.9829999999999997</v>
      </c>
      <c r="N41" s="14"/>
      <c r="O41" s="13"/>
    </row>
    <row r="42" spans="1:15" x14ac:dyDescent="0.25">
      <c r="A42" s="4">
        <v>40</v>
      </c>
      <c r="B42">
        <v>4.992</v>
      </c>
      <c r="C42">
        <v>4.992</v>
      </c>
      <c r="D42">
        <v>4.9870000000000001</v>
      </c>
      <c r="E42">
        <v>4.9950000000000001</v>
      </c>
      <c r="F42">
        <v>4.9649999999999999</v>
      </c>
      <c r="G42">
        <v>4.9459999999999997</v>
      </c>
      <c r="H42">
        <v>5.0119999999999996</v>
      </c>
      <c r="I42">
        <v>4.9980000000000002</v>
      </c>
      <c r="J42">
        <v>5.0010000000000003</v>
      </c>
      <c r="K42">
        <v>5.0010000000000003</v>
      </c>
      <c r="L42">
        <v>4.9850000000000003</v>
      </c>
      <c r="M42">
        <v>5</v>
      </c>
      <c r="N42" s="14"/>
      <c r="O42" s="13"/>
    </row>
    <row r="43" spans="1:15" x14ac:dyDescent="0.25">
      <c r="A43" s="4">
        <v>41</v>
      </c>
      <c r="B43">
        <v>5.0019999999999998</v>
      </c>
      <c r="C43">
        <v>4.9889999999999999</v>
      </c>
      <c r="D43">
        <v>5.0270000000000001</v>
      </c>
      <c r="E43">
        <v>4.9880000000000004</v>
      </c>
      <c r="F43">
        <v>5.0090000000000003</v>
      </c>
      <c r="G43">
        <v>4.9980000000000002</v>
      </c>
      <c r="H43">
        <v>4.9969999999999999</v>
      </c>
      <c r="I43">
        <v>5.0209999999999999</v>
      </c>
      <c r="J43">
        <v>5.0149999999999997</v>
      </c>
      <c r="K43">
        <v>5.0069999999999997</v>
      </c>
      <c r="L43">
        <v>4.9889999999999999</v>
      </c>
      <c r="M43">
        <v>5.0069999999999997</v>
      </c>
      <c r="N43" s="14"/>
      <c r="O43" s="13"/>
    </row>
    <row r="44" spans="1:15" x14ac:dyDescent="0.25">
      <c r="A44" s="4">
        <v>42</v>
      </c>
      <c r="B44">
        <v>4.9749999999999996</v>
      </c>
      <c r="C44">
        <v>4.9880000000000004</v>
      </c>
      <c r="D44">
        <v>4.9989999999999997</v>
      </c>
      <c r="E44">
        <v>4.9969999999999999</v>
      </c>
      <c r="F44">
        <v>4.9770000000000003</v>
      </c>
      <c r="G44">
        <v>4.976</v>
      </c>
      <c r="H44">
        <v>4.9950000000000001</v>
      </c>
      <c r="I44">
        <v>5.008</v>
      </c>
      <c r="J44">
        <v>5.0110000000000001</v>
      </c>
      <c r="K44">
        <v>5.0060000000000002</v>
      </c>
      <c r="L44">
        <v>4.9960000000000004</v>
      </c>
      <c r="M44">
        <v>4.992</v>
      </c>
      <c r="N44" s="14"/>
      <c r="O44" s="13"/>
    </row>
    <row r="45" spans="1:15" x14ac:dyDescent="0.25">
      <c r="A45" s="4">
        <v>43</v>
      </c>
      <c r="B45">
        <v>5.0220000000000002</v>
      </c>
      <c r="C45">
        <v>5.0309999999999997</v>
      </c>
      <c r="D45">
        <v>5.0090000000000003</v>
      </c>
      <c r="E45">
        <v>4.9960000000000004</v>
      </c>
      <c r="F45">
        <v>5.032</v>
      </c>
      <c r="G45">
        <v>5.0209999999999999</v>
      </c>
      <c r="H45">
        <v>4.9950000000000001</v>
      </c>
      <c r="I45">
        <v>5.0250000000000004</v>
      </c>
      <c r="J45">
        <v>5.0060000000000002</v>
      </c>
      <c r="K45">
        <v>4.99</v>
      </c>
      <c r="L45">
        <v>5.0149999999999997</v>
      </c>
      <c r="M45">
        <v>4.9960000000000004</v>
      </c>
      <c r="N45" s="14"/>
      <c r="O45" s="13"/>
    </row>
    <row r="46" spans="1:15" x14ac:dyDescent="0.25">
      <c r="A46" s="4">
        <v>44</v>
      </c>
      <c r="B46">
        <v>5.0129999999999999</v>
      </c>
      <c r="C46">
        <v>5.0129999999999999</v>
      </c>
      <c r="D46">
        <v>4.9809999999999999</v>
      </c>
      <c r="E46">
        <v>5.0350000000000001</v>
      </c>
      <c r="F46">
        <v>5.0330000000000004</v>
      </c>
      <c r="G46">
        <v>4.9960000000000004</v>
      </c>
      <c r="H46">
        <v>5.0140000000000002</v>
      </c>
      <c r="I46">
        <v>5.0049999999999999</v>
      </c>
      <c r="J46">
        <v>5.0060000000000002</v>
      </c>
      <c r="K46">
        <v>5.0119999999999996</v>
      </c>
      <c r="L46">
        <v>5.0149999999999997</v>
      </c>
      <c r="M46">
        <v>4.9989999999999997</v>
      </c>
      <c r="N46" s="14"/>
      <c r="O46" s="13"/>
    </row>
    <row r="47" spans="1:15" x14ac:dyDescent="0.25">
      <c r="A47" s="4">
        <v>45</v>
      </c>
      <c r="B47">
        <v>4.9950000000000001</v>
      </c>
      <c r="C47">
        <v>4.9980000000000002</v>
      </c>
      <c r="D47">
        <v>4.9870000000000001</v>
      </c>
      <c r="E47">
        <v>4.9989999999999997</v>
      </c>
      <c r="F47">
        <v>4.9630000000000001</v>
      </c>
      <c r="G47">
        <v>5.0030000000000001</v>
      </c>
      <c r="H47">
        <v>4.9909999999999997</v>
      </c>
      <c r="I47">
        <v>4.9800000000000004</v>
      </c>
      <c r="J47">
        <v>4.9480000000000004</v>
      </c>
      <c r="K47">
        <v>5.0010000000000003</v>
      </c>
      <c r="L47">
        <v>4.9939999999999998</v>
      </c>
      <c r="M47">
        <v>4.992</v>
      </c>
      <c r="N47" s="14"/>
      <c r="O47" s="13"/>
    </row>
    <row r="48" spans="1:15" x14ac:dyDescent="0.25">
      <c r="A48" s="4">
        <v>46</v>
      </c>
      <c r="B48">
        <v>5.008</v>
      </c>
      <c r="C48">
        <v>4.9960000000000004</v>
      </c>
      <c r="D48">
        <v>5.0179999999999998</v>
      </c>
      <c r="E48">
        <v>4.9770000000000003</v>
      </c>
      <c r="F48">
        <v>4.9379999999999997</v>
      </c>
      <c r="G48">
        <v>4.9930000000000003</v>
      </c>
      <c r="H48">
        <v>5.01</v>
      </c>
      <c r="I48">
        <v>5.0039999999999996</v>
      </c>
      <c r="J48">
        <v>4.9660000000000002</v>
      </c>
      <c r="K48">
        <v>5.0209999999999999</v>
      </c>
      <c r="L48">
        <v>5.0330000000000004</v>
      </c>
      <c r="M48">
        <v>5.0270000000000001</v>
      </c>
      <c r="N48" s="14"/>
      <c r="O48" s="13"/>
    </row>
    <row r="49" spans="1:15" x14ac:dyDescent="0.25">
      <c r="A49" s="4">
        <v>47</v>
      </c>
      <c r="B49">
        <v>4.9630000000000001</v>
      </c>
      <c r="C49">
        <v>4.9770000000000003</v>
      </c>
      <c r="D49">
        <v>4.9870000000000001</v>
      </c>
      <c r="E49">
        <v>4.9779999999999998</v>
      </c>
      <c r="F49">
        <v>4.992</v>
      </c>
      <c r="G49">
        <v>4.9660000000000002</v>
      </c>
      <c r="H49">
        <v>5.0110000000000001</v>
      </c>
      <c r="I49">
        <v>5.0199999999999996</v>
      </c>
      <c r="J49">
        <v>4.9800000000000004</v>
      </c>
      <c r="K49">
        <v>5.0190000000000001</v>
      </c>
      <c r="L49">
        <v>5.0250000000000004</v>
      </c>
      <c r="M49">
        <v>5.024</v>
      </c>
      <c r="N49" s="14"/>
      <c r="O49" s="13"/>
    </row>
    <row r="50" spans="1:15" x14ac:dyDescent="0.25">
      <c r="A50" s="4">
        <v>48</v>
      </c>
      <c r="B50">
        <v>4.9960000000000004</v>
      </c>
      <c r="C50">
        <v>5.0069999999999997</v>
      </c>
      <c r="D50">
        <v>5.0069999999999997</v>
      </c>
      <c r="E50">
        <v>5.016</v>
      </c>
      <c r="F50">
        <v>5.0199999999999996</v>
      </c>
      <c r="G50">
        <v>5.024</v>
      </c>
      <c r="H50">
        <v>4.9710000000000001</v>
      </c>
      <c r="I50">
        <v>4.9690000000000003</v>
      </c>
      <c r="J50">
        <v>5.0060000000000002</v>
      </c>
      <c r="K50">
        <v>4.9870000000000001</v>
      </c>
      <c r="L50">
        <v>4.976</v>
      </c>
      <c r="M50">
        <v>4.9829999999999997</v>
      </c>
      <c r="N50" s="14"/>
      <c r="O50" s="13"/>
    </row>
    <row r="51" spans="1:15" x14ac:dyDescent="0.25">
      <c r="A51" s="4">
        <v>49</v>
      </c>
      <c r="B51">
        <v>4.9969999999999999</v>
      </c>
      <c r="C51">
        <v>5.0049999999999999</v>
      </c>
      <c r="D51">
        <v>4.9800000000000004</v>
      </c>
      <c r="E51">
        <v>4.9889999999999999</v>
      </c>
      <c r="F51">
        <v>4.9749999999999996</v>
      </c>
      <c r="G51">
        <v>4.9909999999999997</v>
      </c>
      <c r="H51">
        <v>4.976</v>
      </c>
      <c r="I51">
        <v>4.9820000000000002</v>
      </c>
      <c r="J51">
        <v>5.0060000000000002</v>
      </c>
      <c r="K51">
        <v>4.9619999999999997</v>
      </c>
      <c r="L51">
        <v>4.95</v>
      </c>
      <c r="M51">
        <v>4.97</v>
      </c>
      <c r="N51" s="14"/>
      <c r="O51" s="13"/>
    </row>
    <row r="52" spans="1:15" x14ac:dyDescent="0.25">
      <c r="A52" s="4">
        <v>50</v>
      </c>
      <c r="B52">
        <v>5.0229999999999997</v>
      </c>
      <c r="C52">
        <v>5.0199999999999996</v>
      </c>
      <c r="D52">
        <v>4.9989999999999997</v>
      </c>
      <c r="E52">
        <v>5.0199999999999996</v>
      </c>
      <c r="F52">
        <v>5.0119999999999996</v>
      </c>
      <c r="G52">
        <v>5.0430000000000001</v>
      </c>
      <c r="H52">
        <v>5.0330000000000004</v>
      </c>
      <c r="I52">
        <v>5.0039999999999996</v>
      </c>
      <c r="J52">
        <v>5.0069999999999997</v>
      </c>
      <c r="K52">
        <v>5.0119999999999996</v>
      </c>
      <c r="L52">
        <v>4.9969999999999999</v>
      </c>
      <c r="M52">
        <v>4.992</v>
      </c>
      <c r="N52" s="14"/>
      <c r="O52" s="13"/>
    </row>
    <row r="53" spans="1:15" ht="13.5" customHeight="1" x14ac:dyDescent="0.25">
      <c r="A53" s="4">
        <v>51</v>
      </c>
      <c r="B53">
        <v>4.9930000000000003</v>
      </c>
      <c r="C53">
        <v>4.9889999999999999</v>
      </c>
      <c r="D53">
        <v>5.0039999999999996</v>
      </c>
      <c r="E53">
        <v>5.0149999999999997</v>
      </c>
      <c r="F53">
        <v>5.0039999999999996</v>
      </c>
      <c r="G53">
        <v>4.9649999999999999</v>
      </c>
      <c r="H53">
        <v>5.0229999999999997</v>
      </c>
      <c r="I53">
        <v>5.0090000000000003</v>
      </c>
      <c r="J53">
        <v>5.0069999999999997</v>
      </c>
      <c r="K53">
        <v>5.0220000000000002</v>
      </c>
      <c r="L53">
        <v>5.0010000000000003</v>
      </c>
      <c r="M53">
        <v>5.0039999999999996</v>
      </c>
      <c r="N53" s="14"/>
      <c r="O53" s="13"/>
    </row>
    <row r="54" spans="1:15" x14ac:dyDescent="0.25">
      <c r="A54" s="4">
        <v>52</v>
      </c>
      <c r="B54">
        <v>4.9989999999999997</v>
      </c>
      <c r="C54">
        <v>4.9790000000000001</v>
      </c>
      <c r="D54">
        <v>5.0259999999999998</v>
      </c>
      <c r="E54">
        <v>4.9880000000000004</v>
      </c>
      <c r="F54">
        <v>4.9980000000000002</v>
      </c>
      <c r="G54">
        <v>4.9800000000000004</v>
      </c>
      <c r="H54">
        <v>4.9889999999999999</v>
      </c>
      <c r="I54">
        <v>5.0110000000000001</v>
      </c>
      <c r="J54">
        <v>4.9870000000000001</v>
      </c>
      <c r="K54">
        <v>4.9930000000000003</v>
      </c>
      <c r="L54">
        <v>5.0069999999999997</v>
      </c>
      <c r="M54">
        <v>4.9809999999999999</v>
      </c>
      <c r="N54" s="14"/>
      <c r="O54" s="13"/>
    </row>
    <row r="55" spans="1:15" x14ac:dyDescent="0.25">
      <c r="A55" s="4">
        <v>53</v>
      </c>
      <c r="B55">
        <v>5.0030000000000001</v>
      </c>
      <c r="C55">
        <v>5.0069999999999997</v>
      </c>
      <c r="D55">
        <v>4.992</v>
      </c>
      <c r="E55">
        <v>4.9870000000000001</v>
      </c>
      <c r="F55">
        <v>5.0570000000000004</v>
      </c>
      <c r="G55">
        <v>5.0279999999999996</v>
      </c>
      <c r="H55">
        <v>4.9880000000000004</v>
      </c>
      <c r="I55">
        <v>4.9960000000000004</v>
      </c>
      <c r="J55">
        <v>4.9950000000000001</v>
      </c>
      <c r="K55">
        <v>4.9790000000000001</v>
      </c>
      <c r="L55">
        <v>4.9770000000000003</v>
      </c>
      <c r="M55">
        <v>5.0030000000000001</v>
      </c>
      <c r="N55" s="14"/>
      <c r="O55" s="13"/>
    </row>
    <row r="56" spans="1:15" x14ac:dyDescent="0.25">
      <c r="A56" s="4">
        <v>54</v>
      </c>
      <c r="B56">
        <v>4.9939999999999998</v>
      </c>
      <c r="C56">
        <v>5.0090000000000003</v>
      </c>
      <c r="D56">
        <v>5.0369999999999999</v>
      </c>
      <c r="E56">
        <v>5.01</v>
      </c>
      <c r="F56">
        <v>5.0350000000000001</v>
      </c>
      <c r="G56">
        <v>5.0289999999999999</v>
      </c>
      <c r="H56">
        <v>4.9960000000000004</v>
      </c>
      <c r="I56">
        <v>4.9820000000000002</v>
      </c>
      <c r="J56">
        <v>4.9969999999999999</v>
      </c>
      <c r="K56">
        <v>4.9770000000000003</v>
      </c>
      <c r="L56">
        <v>4.9790000000000001</v>
      </c>
      <c r="M56">
        <v>4.97</v>
      </c>
      <c r="N56" s="14"/>
      <c r="O56" s="13"/>
    </row>
    <row r="57" spans="1:15" x14ac:dyDescent="0.25">
      <c r="A57" s="4">
        <v>55</v>
      </c>
      <c r="B57">
        <v>4.9960000000000004</v>
      </c>
      <c r="C57">
        <v>5.024</v>
      </c>
      <c r="D57">
        <v>4.9960000000000004</v>
      </c>
      <c r="E57">
        <v>5.0199999999999996</v>
      </c>
      <c r="F57">
        <v>4.976</v>
      </c>
      <c r="G57">
        <v>4.9640000000000004</v>
      </c>
      <c r="H57">
        <v>4.9779999999999998</v>
      </c>
      <c r="I57">
        <v>4.9980000000000002</v>
      </c>
      <c r="J57">
        <v>5.0060000000000002</v>
      </c>
      <c r="K57">
        <v>5.0060000000000002</v>
      </c>
      <c r="L57">
        <v>4.9859999999999998</v>
      </c>
      <c r="M57">
        <v>4.9939999999999998</v>
      </c>
      <c r="N57" s="14"/>
      <c r="O57" s="13"/>
    </row>
    <row r="58" spans="1:15" x14ac:dyDescent="0.25">
      <c r="A58" s="4">
        <v>56</v>
      </c>
      <c r="B58">
        <v>5.0069999999999997</v>
      </c>
      <c r="C58">
        <v>4.9779999999999998</v>
      </c>
      <c r="D58">
        <v>4.976</v>
      </c>
      <c r="E58">
        <v>5.008</v>
      </c>
      <c r="F58">
        <v>4.9939999999999998</v>
      </c>
      <c r="G58">
        <v>4.9960000000000004</v>
      </c>
      <c r="H58">
        <v>5.0049999999999999</v>
      </c>
      <c r="I58">
        <v>4.9930000000000003</v>
      </c>
      <c r="J58">
        <v>4.9889999999999999</v>
      </c>
      <c r="K58">
        <v>5.0220000000000002</v>
      </c>
      <c r="L58">
        <v>5.01</v>
      </c>
      <c r="M58">
        <v>5</v>
      </c>
      <c r="N58" s="14"/>
      <c r="O58" s="13"/>
    </row>
    <row r="59" spans="1:15" x14ac:dyDescent="0.25">
      <c r="A59" s="4">
        <v>57</v>
      </c>
      <c r="B59">
        <v>4.9960000000000004</v>
      </c>
      <c r="C59">
        <v>4.9829999999999997</v>
      </c>
      <c r="D59">
        <v>4.9790000000000001</v>
      </c>
      <c r="E59">
        <v>4.9870000000000001</v>
      </c>
      <c r="F59">
        <v>4.984</v>
      </c>
      <c r="G59">
        <v>4.99</v>
      </c>
      <c r="H59">
        <v>5.01</v>
      </c>
      <c r="I59">
        <v>5.0129999999999999</v>
      </c>
      <c r="J59">
        <v>5.0179999999999998</v>
      </c>
      <c r="K59">
        <v>5.0119999999999996</v>
      </c>
      <c r="L59">
        <v>5.01</v>
      </c>
      <c r="M59">
        <v>5.0090000000000003</v>
      </c>
      <c r="N59" s="14"/>
      <c r="O59" s="13"/>
    </row>
    <row r="60" spans="1:15" x14ac:dyDescent="0.25">
      <c r="A60" s="4">
        <v>58</v>
      </c>
      <c r="B60">
        <v>5.0140000000000002</v>
      </c>
      <c r="C60">
        <v>5</v>
      </c>
      <c r="D60">
        <v>5.01</v>
      </c>
      <c r="E60">
        <v>4.9630000000000001</v>
      </c>
      <c r="F60">
        <v>5.0039999999999996</v>
      </c>
      <c r="G60">
        <v>5.0140000000000002</v>
      </c>
      <c r="H60">
        <v>5.0039999999999996</v>
      </c>
      <c r="I60">
        <v>5.0090000000000003</v>
      </c>
      <c r="J60">
        <v>5.0220000000000002</v>
      </c>
      <c r="K60">
        <v>4.9980000000000002</v>
      </c>
      <c r="L60">
        <v>5.0410000000000004</v>
      </c>
      <c r="M60">
        <v>5.0069999999999997</v>
      </c>
      <c r="N60" s="14"/>
      <c r="O60" s="13"/>
    </row>
    <row r="61" spans="1:15" x14ac:dyDescent="0.25">
      <c r="A61" s="4">
        <v>59</v>
      </c>
      <c r="B61">
        <v>5.0039999999999996</v>
      </c>
      <c r="C61">
        <v>5.024</v>
      </c>
      <c r="D61">
        <v>5.0289999999999999</v>
      </c>
      <c r="E61">
        <v>5.0019999999999998</v>
      </c>
      <c r="F61">
        <v>4.9960000000000004</v>
      </c>
      <c r="G61">
        <v>5.0069999999999997</v>
      </c>
      <c r="H61">
        <v>4.99</v>
      </c>
      <c r="I61">
        <v>4.9939999999999998</v>
      </c>
      <c r="J61">
        <v>4.9939999999999998</v>
      </c>
      <c r="K61">
        <v>4.9589999999999996</v>
      </c>
      <c r="L61">
        <v>4.9690000000000003</v>
      </c>
      <c r="M61">
        <v>5.008</v>
      </c>
      <c r="N61" s="14"/>
      <c r="O61" s="13"/>
    </row>
    <row r="62" spans="1:15" x14ac:dyDescent="0.25">
      <c r="A62" s="4">
        <v>60</v>
      </c>
      <c r="B62">
        <v>5.0090000000000003</v>
      </c>
      <c r="C62">
        <v>5.0289999999999999</v>
      </c>
      <c r="D62">
        <v>5.0519999999999996</v>
      </c>
      <c r="E62">
        <v>5.0129999999999999</v>
      </c>
      <c r="F62">
        <v>5.0090000000000003</v>
      </c>
      <c r="G62">
        <v>4.984</v>
      </c>
      <c r="H62">
        <v>4.984</v>
      </c>
      <c r="I62">
        <v>4.9969999999999999</v>
      </c>
      <c r="J62">
        <v>4.99</v>
      </c>
      <c r="K62">
        <v>5.0119999999999996</v>
      </c>
      <c r="L62">
        <v>4.9880000000000004</v>
      </c>
      <c r="M62">
        <v>5.0110000000000001</v>
      </c>
      <c r="N62" s="14"/>
      <c r="O62" s="13"/>
    </row>
    <row r="63" spans="1:15" x14ac:dyDescent="0.25">
      <c r="A63" s="4">
        <v>61</v>
      </c>
      <c r="B63">
        <v>4.9930000000000003</v>
      </c>
      <c r="C63">
        <v>4.9889999999999999</v>
      </c>
      <c r="D63">
        <v>4.9729999999999999</v>
      </c>
      <c r="E63">
        <v>4.9740000000000002</v>
      </c>
      <c r="F63">
        <v>4.9930000000000003</v>
      </c>
      <c r="G63">
        <v>5.008</v>
      </c>
      <c r="H63">
        <v>4.9950000000000001</v>
      </c>
      <c r="I63">
        <v>4.9969999999999999</v>
      </c>
      <c r="J63">
        <v>4.9909999999999997</v>
      </c>
      <c r="K63">
        <v>5.016</v>
      </c>
      <c r="L63">
        <v>5.0119999999999996</v>
      </c>
      <c r="M63">
        <v>5.0179999999999998</v>
      </c>
      <c r="N63" s="14"/>
      <c r="O63" s="13"/>
    </row>
    <row r="64" spans="1:15" x14ac:dyDescent="0.25">
      <c r="A64" s="4">
        <v>62</v>
      </c>
      <c r="B64">
        <v>4.9909999999999997</v>
      </c>
      <c r="C64">
        <v>4.9809999999999999</v>
      </c>
      <c r="D64">
        <v>4.96</v>
      </c>
      <c r="E64">
        <v>4.9619999999999997</v>
      </c>
      <c r="F64">
        <v>4.96</v>
      </c>
      <c r="G64">
        <v>5.0129999999999999</v>
      </c>
      <c r="H64">
        <v>4.9930000000000003</v>
      </c>
      <c r="I64">
        <v>4.9950000000000001</v>
      </c>
      <c r="J64">
        <v>5.0149999999999997</v>
      </c>
      <c r="K64">
        <v>4.992</v>
      </c>
      <c r="L64">
        <v>5.016</v>
      </c>
      <c r="M64">
        <v>4.9880000000000004</v>
      </c>
      <c r="N64" s="14"/>
      <c r="O64" s="13"/>
    </row>
    <row r="65" spans="1:15" x14ac:dyDescent="0.25">
      <c r="A65" s="4">
        <v>63</v>
      </c>
      <c r="B65">
        <v>4.9960000000000004</v>
      </c>
      <c r="C65">
        <v>4.992</v>
      </c>
      <c r="D65">
        <v>5.0090000000000003</v>
      </c>
      <c r="E65">
        <v>5.0380000000000003</v>
      </c>
      <c r="F65">
        <v>5.024</v>
      </c>
      <c r="G65">
        <v>4.968</v>
      </c>
      <c r="H65">
        <v>5.0119999999999996</v>
      </c>
      <c r="I65">
        <v>5.0279999999999996</v>
      </c>
      <c r="J65">
        <v>4.9980000000000002</v>
      </c>
      <c r="K65">
        <v>4.9989999999999997</v>
      </c>
      <c r="L65">
        <v>5</v>
      </c>
      <c r="M65">
        <v>5.0039999999999996</v>
      </c>
      <c r="N65" s="14"/>
      <c r="O65" s="13"/>
    </row>
    <row r="66" spans="1:15" x14ac:dyDescent="0.25">
      <c r="A66" s="4">
        <v>64</v>
      </c>
      <c r="B66">
        <v>5.0069999999999997</v>
      </c>
      <c r="C66">
        <v>4.9829999999999997</v>
      </c>
      <c r="D66">
        <v>5.016</v>
      </c>
      <c r="E66">
        <v>5.0339999999999998</v>
      </c>
      <c r="F66">
        <v>5.0090000000000003</v>
      </c>
      <c r="G66">
        <v>5.0039999999999996</v>
      </c>
      <c r="H66">
        <v>4.99</v>
      </c>
      <c r="I66">
        <v>4.9960000000000004</v>
      </c>
      <c r="J66">
        <v>4.99</v>
      </c>
      <c r="K66">
        <v>4.9930000000000003</v>
      </c>
      <c r="L66">
        <v>5.0110000000000001</v>
      </c>
      <c r="M66">
        <v>4.9820000000000002</v>
      </c>
      <c r="N66" s="14"/>
      <c r="O66" s="13"/>
    </row>
    <row r="67" spans="1:15" x14ac:dyDescent="0.25">
      <c r="A67" s="4">
        <v>65</v>
      </c>
      <c r="B67">
        <v>4.9889999999999999</v>
      </c>
      <c r="C67">
        <v>4.9880000000000004</v>
      </c>
      <c r="D67">
        <v>4.9820000000000002</v>
      </c>
      <c r="E67">
        <v>5.0060000000000002</v>
      </c>
      <c r="F67">
        <v>5.0039999999999996</v>
      </c>
      <c r="G67">
        <v>5.0110000000000001</v>
      </c>
      <c r="H67"/>
      <c r="I67"/>
      <c r="J67"/>
      <c r="K67"/>
      <c r="L67"/>
      <c r="M67"/>
      <c r="N67" s="14"/>
      <c r="O67" s="13"/>
    </row>
    <row r="68" spans="1:15" x14ac:dyDescent="0.25">
      <c r="A68" s="4">
        <v>66</v>
      </c>
      <c r="B68">
        <v>4.9800000000000004</v>
      </c>
      <c r="C68">
        <v>4.9939999999999998</v>
      </c>
      <c r="D68">
        <v>4.9580000000000002</v>
      </c>
      <c r="E68">
        <v>4.9729999999999999</v>
      </c>
      <c r="F68">
        <v>4.9969999999999999</v>
      </c>
      <c r="G68">
        <v>5.0069999999999997</v>
      </c>
      <c r="H68">
        <v>5.0179999999999998</v>
      </c>
      <c r="I68">
        <v>4.9779999999999998</v>
      </c>
      <c r="J68">
        <v>4.984</v>
      </c>
      <c r="K68">
        <v>5.0270000000000001</v>
      </c>
      <c r="L68">
        <v>5.0259999999999998</v>
      </c>
      <c r="M68">
        <v>5.016</v>
      </c>
      <c r="N68" s="14"/>
      <c r="O68" s="13"/>
    </row>
    <row r="69" spans="1:15" x14ac:dyDescent="0.25">
      <c r="A69" s="4">
        <v>67</v>
      </c>
      <c r="B69">
        <v>5.0149999999999997</v>
      </c>
      <c r="C69">
        <v>5.0259999999999998</v>
      </c>
      <c r="D69">
        <v>5.0309999999999997</v>
      </c>
      <c r="E69">
        <v>4.992</v>
      </c>
      <c r="F69">
        <v>5.0110000000000001</v>
      </c>
      <c r="G69">
        <v>4.9850000000000003</v>
      </c>
      <c r="H69">
        <v>5.0179999999999998</v>
      </c>
      <c r="I69">
        <v>5.0030000000000001</v>
      </c>
      <c r="J69">
        <v>4.9790000000000001</v>
      </c>
      <c r="K69">
        <v>4.9969999999999999</v>
      </c>
      <c r="L69">
        <v>4.9470000000000001</v>
      </c>
      <c r="M69">
        <v>4.9950000000000001</v>
      </c>
      <c r="N69" s="14"/>
      <c r="O69" s="13"/>
    </row>
    <row r="70" spans="1:15" x14ac:dyDescent="0.25">
      <c r="A70" s="4">
        <v>68</v>
      </c>
      <c r="B70">
        <v>5.0220000000000002</v>
      </c>
      <c r="C70">
        <v>5.0330000000000004</v>
      </c>
      <c r="D70">
        <v>5.0049999999999999</v>
      </c>
      <c r="E70">
        <v>4.99</v>
      </c>
      <c r="F70">
        <v>4.984</v>
      </c>
      <c r="G70">
        <v>4.9710000000000001</v>
      </c>
      <c r="H70">
        <v>4.9729999999999999</v>
      </c>
      <c r="I70">
        <v>4.9980000000000002</v>
      </c>
      <c r="J70">
        <v>5.0039999999999996</v>
      </c>
      <c r="K70">
        <v>4.9729999999999999</v>
      </c>
      <c r="L70">
        <v>4.9859999999999998</v>
      </c>
      <c r="M70">
        <v>4.9880000000000004</v>
      </c>
      <c r="N70" s="14"/>
      <c r="O70" s="13"/>
    </row>
    <row r="71" spans="1:15" x14ac:dyDescent="0.25">
      <c r="A71" s="4">
        <v>69</v>
      </c>
      <c r="B71">
        <v>4.97</v>
      </c>
      <c r="C71">
        <v>4.9690000000000003</v>
      </c>
      <c r="D71">
        <v>5.0019999999999998</v>
      </c>
      <c r="E71">
        <v>5.0010000000000003</v>
      </c>
      <c r="F71">
        <v>5.008</v>
      </c>
      <c r="G71">
        <v>5.0019999999999998</v>
      </c>
      <c r="H71">
        <v>4.9800000000000004</v>
      </c>
      <c r="I71">
        <v>5.0039999999999996</v>
      </c>
      <c r="J71">
        <v>5.0049999999999999</v>
      </c>
      <c r="K71">
        <v>5.0030000000000001</v>
      </c>
      <c r="L71">
        <v>4.9800000000000004</v>
      </c>
      <c r="M71">
        <v>4.9980000000000002</v>
      </c>
      <c r="N71" s="14"/>
      <c r="O71" s="13"/>
    </row>
    <row r="72" spans="1:15" x14ac:dyDescent="0.25">
      <c r="A72" s="4">
        <v>70</v>
      </c>
      <c r="B72">
        <v>4.9820000000000002</v>
      </c>
      <c r="C72">
        <v>4.9720000000000004</v>
      </c>
      <c r="D72">
        <v>4.9950000000000001</v>
      </c>
      <c r="E72">
        <v>5.0039999999999996</v>
      </c>
      <c r="F72">
        <v>4.9550000000000001</v>
      </c>
      <c r="G72">
        <v>4.9989999999999997</v>
      </c>
      <c r="H72">
        <v>5.0149999999999997</v>
      </c>
      <c r="I72">
        <v>4.9779999999999998</v>
      </c>
      <c r="J72">
        <v>5.01</v>
      </c>
      <c r="K72">
        <v>5.0049999999999999</v>
      </c>
      <c r="L72">
        <v>4.9880000000000004</v>
      </c>
      <c r="M72">
        <v>5.0019999999999998</v>
      </c>
      <c r="N72" s="14"/>
      <c r="O72" s="13"/>
    </row>
    <row r="73" spans="1:15" x14ac:dyDescent="0.25">
      <c r="A73" s="4">
        <v>71</v>
      </c>
      <c r="B73">
        <v>5.0119999999999996</v>
      </c>
      <c r="C73">
        <v>4.9930000000000003</v>
      </c>
      <c r="D73">
        <v>4.992</v>
      </c>
      <c r="E73">
        <v>5.0199999999999996</v>
      </c>
      <c r="F73">
        <v>4.9950000000000001</v>
      </c>
      <c r="G73">
        <v>4.9969999999999999</v>
      </c>
      <c r="H73">
        <v>5.024</v>
      </c>
      <c r="I73">
        <v>5.0369999999999999</v>
      </c>
      <c r="J73">
        <v>4.9950000000000001</v>
      </c>
      <c r="K73">
        <v>4.9980000000000002</v>
      </c>
      <c r="L73">
        <v>5.0049999999999999</v>
      </c>
      <c r="M73">
        <v>5.0170000000000003</v>
      </c>
      <c r="N73" s="14"/>
      <c r="O73" s="13"/>
    </row>
    <row r="74" spans="1:15" x14ac:dyDescent="0.25">
      <c r="A74" s="4">
        <v>72</v>
      </c>
      <c r="B74">
        <v>5.03</v>
      </c>
      <c r="C74">
        <v>5.0430000000000001</v>
      </c>
      <c r="D74">
        <v>5.0519999999999996</v>
      </c>
      <c r="E74">
        <v>5.0129999999999999</v>
      </c>
      <c r="F74">
        <v>5.0339999999999998</v>
      </c>
      <c r="G74">
        <v>5.03</v>
      </c>
      <c r="H74">
        <v>4.984</v>
      </c>
      <c r="I74">
        <v>5.0019999999999998</v>
      </c>
      <c r="J74">
        <v>5.0010000000000003</v>
      </c>
      <c r="K74">
        <v>4.9980000000000002</v>
      </c>
      <c r="L74">
        <v>5.0289999999999999</v>
      </c>
      <c r="M74">
        <v>4.984</v>
      </c>
      <c r="N74" s="14"/>
      <c r="O74" s="13"/>
    </row>
    <row r="75" spans="1:15" x14ac:dyDescent="0.25">
      <c r="A75" s="4">
        <v>73</v>
      </c>
      <c r="B75">
        <v>4.9939999999999998</v>
      </c>
      <c r="C75">
        <v>4.984</v>
      </c>
      <c r="D75">
        <v>5.0030000000000001</v>
      </c>
      <c r="E75">
        <v>4.9829999999999997</v>
      </c>
      <c r="F75">
        <v>4.9850000000000003</v>
      </c>
      <c r="G75">
        <v>4.9690000000000003</v>
      </c>
      <c r="H75">
        <v>5.0140000000000002</v>
      </c>
      <c r="I75">
        <v>5.008</v>
      </c>
      <c r="J75">
        <v>4.9850000000000003</v>
      </c>
      <c r="K75">
        <v>5.0060000000000002</v>
      </c>
      <c r="L75">
        <v>4.9989999999999997</v>
      </c>
      <c r="M75">
        <v>4.9950000000000001</v>
      </c>
      <c r="N75" s="14"/>
      <c r="O75" s="13"/>
    </row>
    <row r="76" spans="1:15" x14ac:dyDescent="0.25">
      <c r="A76" s="4">
        <v>74</v>
      </c>
      <c r="B76">
        <v>4.984</v>
      </c>
      <c r="C76">
        <v>5.0030000000000001</v>
      </c>
      <c r="D76">
        <v>5.0149999999999997</v>
      </c>
      <c r="E76">
        <v>4.9740000000000002</v>
      </c>
      <c r="F76">
        <v>4.9950000000000001</v>
      </c>
      <c r="G76">
        <v>4.9829999999999997</v>
      </c>
      <c r="H76">
        <v>5</v>
      </c>
      <c r="I76">
        <v>4.9630000000000001</v>
      </c>
      <c r="J76">
        <v>4.9850000000000003</v>
      </c>
      <c r="K76">
        <v>4.9820000000000002</v>
      </c>
      <c r="L76">
        <v>4.9729999999999999</v>
      </c>
      <c r="M76">
        <v>4.9859999999999998</v>
      </c>
      <c r="N76" s="14"/>
      <c r="O76" s="13"/>
    </row>
    <row r="77" spans="1:15" x14ac:dyDescent="0.25">
      <c r="A77" s="4">
        <v>75</v>
      </c>
      <c r="B77">
        <v>5.0019999999999998</v>
      </c>
      <c r="C77">
        <v>5.016</v>
      </c>
      <c r="D77">
        <v>5.0220000000000002</v>
      </c>
      <c r="E77">
        <v>5.0229999999999997</v>
      </c>
      <c r="F77">
        <v>5.0069999999999997</v>
      </c>
      <c r="G77">
        <v>5.0140000000000002</v>
      </c>
      <c r="H77">
        <v>4.9829999999999997</v>
      </c>
      <c r="I77">
        <v>5.0289999999999999</v>
      </c>
      <c r="J77">
        <v>4.9859999999999998</v>
      </c>
      <c r="K77">
        <v>4.9880000000000004</v>
      </c>
      <c r="L77">
        <v>4.9649999999999999</v>
      </c>
      <c r="M77">
        <v>4.9850000000000003</v>
      </c>
      <c r="N77" s="14"/>
      <c r="O77" s="13"/>
    </row>
    <row r="78" spans="1:15" x14ac:dyDescent="0.25">
      <c r="A78" s="4">
        <v>76</v>
      </c>
      <c r="B78">
        <v>5.0010000000000003</v>
      </c>
      <c r="C78">
        <v>5</v>
      </c>
      <c r="D78">
        <v>5.0049999999999999</v>
      </c>
      <c r="E78">
        <v>5.0019999999999998</v>
      </c>
      <c r="F78">
        <v>4.9969999999999999</v>
      </c>
      <c r="G78">
        <v>5.0140000000000002</v>
      </c>
      <c r="H78">
        <v>4.9829999999999997</v>
      </c>
      <c r="I78">
        <v>4.9880000000000004</v>
      </c>
      <c r="J78">
        <v>5.0170000000000003</v>
      </c>
      <c r="K78">
        <v>5.0019999999999998</v>
      </c>
      <c r="L78">
        <v>4.992</v>
      </c>
      <c r="M78">
        <v>5.024</v>
      </c>
      <c r="N78" s="14"/>
      <c r="O78" s="13"/>
    </row>
    <row r="79" spans="1:15" ht="16.5" customHeight="1" x14ac:dyDescent="0.25">
      <c r="A79" s="4">
        <v>77</v>
      </c>
      <c r="B79">
        <v>5.008</v>
      </c>
      <c r="C79">
        <v>5.0039999999999996</v>
      </c>
      <c r="D79">
        <v>4.9960000000000004</v>
      </c>
      <c r="E79">
        <v>4.9859999999999998</v>
      </c>
      <c r="F79">
        <v>5.0129999999999999</v>
      </c>
      <c r="G79">
        <v>5.0110000000000001</v>
      </c>
      <c r="H79">
        <v>4.9880000000000004</v>
      </c>
      <c r="I79">
        <v>5.0069999999999997</v>
      </c>
      <c r="J79">
        <v>5.0389999999999997</v>
      </c>
      <c r="K79">
        <v>5.03</v>
      </c>
      <c r="L79">
        <v>5.0270000000000001</v>
      </c>
      <c r="M79">
        <v>5.016</v>
      </c>
      <c r="N79" s="14"/>
      <c r="O79" s="13"/>
    </row>
    <row r="80" spans="1:15" x14ac:dyDescent="0.25">
      <c r="A80" s="4">
        <v>78</v>
      </c>
      <c r="B80">
        <v>4.9980000000000002</v>
      </c>
      <c r="C80">
        <v>4.984</v>
      </c>
      <c r="D80">
        <v>4.9710000000000001</v>
      </c>
      <c r="E80">
        <v>4.9809999999999999</v>
      </c>
      <c r="F80">
        <v>4.9710000000000001</v>
      </c>
      <c r="G80">
        <v>4.97</v>
      </c>
      <c r="H80">
        <v>5.0129999999999999</v>
      </c>
      <c r="I80">
        <v>5</v>
      </c>
      <c r="J80">
        <v>5.0140000000000002</v>
      </c>
      <c r="K80">
        <v>5.024</v>
      </c>
      <c r="L80">
        <v>5.032</v>
      </c>
      <c r="M80">
        <v>5.0110000000000001</v>
      </c>
      <c r="N80" s="14"/>
      <c r="O80" s="13"/>
    </row>
    <row r="81" spans="1:15" x14ac:dyDescent="0.25">
      <c r="A81" s="4">
        <v>79</v>
      </c>
      <c r="B81">
        <v>4.992</v>
      </c>
      <c r="C81">
        <v>4.9669999999999996</v>
      </c>
      <c r="D81">
        <v>4.9829999999999997</v>
      </c>
      <c r="E81">
        <v>4.9850000000000003</v>
      </c>
      <c r="F81">
        <v>4.9930000000000003</v>
      </c>
      <c r="G81">
        <v>4.9989999999999997</v>
      </c>
      <c r="H81">
        <v>5.008</v>
      </c>
      <c r="I81">
        <v>4.9820000000000002</v>
      </c>
      <c r="J81">
        <v>4.9630000000000001</v>
      </c>
      <c r="K81">
        <v>4.968</v>
      </c>
      <c r="L81">
        <v>4.9809999999999999</v>
      </c>
      <c r="M81">
        <v>4.976</v>
      </c>
      <c r="N81" s="14"/>
      <c r="O81" s="13"/>
    </row>
    <row r="82" spans="1:15" x14ac:dyDescent="0.25">
      <c r="A82" s="4">
        <v>80</v>
      </c>
      <c r="B82">
        <v>5.0090000000000003</v>
      </c>
      <c r="C82">
        <v>4.9960000000000004</v>
      </c>
      <c r="D82">
        <v>5.0179999999999998</v>
      </c>
      <c r="E82">
        <v>5.0060000000000002</v>
      </c>
      <c r="F82">
        <v>5.0279999999999996</v>
      </c>
      <c r="G82">
        <v>5.0250000000000004</v>
      </c>
      <c r="H82">
        <v>4.9880000000000004</v>
      </c>
      <c r="I82">
        <v>4.9930000000000003</v>
      </c>
      <c r="J82">
        <v>4.992</v>
      </c>
      <c r="K82">
        <v>4.9749999999999996</v>
      </c>
      <c r="L82">
        <v>4.984</v>
      </c>
      <c r="M82">
        <v>4.9720000000000004</v>
      </c>
      <c r="N82" s="14"/>
      <c r="O82" s="13"/>
    </row>
    <row r="83" spans="1:15" x14ac:dyDescent="0.25">
      <c r="A83" s="4">
        <v>81</v>
      </c>
      <c r="B83">
        <v>4.9989999999999997</v>
      </c>
      <c r="C83">
        <v>5.0410000000000004</v>
      </c>
      <c r="D83">
        <v>4.9969999999999999</v>
      </c>
      <c r="E83">
        <v>5.024</v>
      </c>
      <c r="F83">
        <v>5.0069999999999997</v>
      </c>
      <c r="G83">
        <v>5.0199999999999996</v>
      </c>
      <c r="H83">
        <v>4.9889999999999999</v>
      </c>
      <c r="I83">
        <v>4.9870000000000001</v>
      </c>
      <c r="J83">
        <v>4.9870000000000001</v>
      </c>
      <c r="K83">
        <v>5.0149999999999997</v>
      </c>
      <c r="L83">
        <v>5.0220000000000002</v>
      </c>
      <c r="M83">
        <v>5.0389999999999997</v>
      </c>
      <c r="N83" s="14"/>
      <c r="O83" s="13"/>
    </row>
    <row r="84" spans="1:15" x14ac:dyDescent="0.25">
      <c r="A84" s="4">
        <v>82</v>
      </c>
      <c r="B84">
        <v>4.9829999999999997</v>
      </c>
      <c r="C84">
        <v>5</v>
      </c>
      <c r="D84">
        <v>4.9850000000000003</v>
      </c>
      <c r="E84">
        <v>4.9870000000000001</v>
      </c>
      <c r="F84">
        <v>4.9989999999999997</v>
      </c>
      <c r="G84">
        <v>4.97</v>
      </c>
      <c r="H84">
        <v>5.008</v>
      </c>
      <c r="I84">
        <v>4.9889999999999999</v>
      </c>
      <c r="J84">
        <v>4.9950000000000001</v>
      </c>
      <c r="K84">
        <v>5.0170000000000003</v>
      </c>
      <c r="L84">
        <v>4.9980000000000002</v>
      </c>
      <c r="M84">
        <v>4.9880000000000004</v>
      </c>
      <c r="N84" s="14"/>
      <c r="O84" s="13"/>
    </row>
    <row r="85" spans="1:15" x14ac:dyDescent="0.25">
      <c r="A85" s="4">
        <v>83</v>
      </c>
      <c r="B85">
        <v>5.0110000000000001</v>
      </c>
      <c r="C85">
        <v>5.0069999999999997</v>
      </c>
      <c r="D85">
        <v>5.0069999999999997</v>
      </c>
      <c r="E85">
        <v>4.9909999999999997</v>
      </c>
      <c r="F85">
        <v>4.992</v>
      </c>
      <c r="G85">
        <v>4.9960000000000004</v>
      </c>
      <c r="H85">
        <v>5.0049999999999999</v>
      </c>
      <c r="I85">
        <v>5.0140000000000002</v>
      </c>
      <c r="J85">
        <v>5.0010000000000003</v>
      </c>
      <c r="K85">
        <v>4.9870000000000001</v>
      </c>
      <c r="L85">
        <v>4.9630000000000001</v>
      </c>
      <c r="M85">
        <v>4.9939999999999998</v>
      </c>
      <c r="N85" s="14"/>
      <c r="O85" s="13"/>
    </row>
    <row r="86" spans="1:15" x14ac:dyDescent="0.25">
      <c r="A86" s="4">
        <v>84</v>
      </c>
      <c r="B86"/>
      <c r="C86"/>
      <c r="D86"/>
      <c r="E86"/>
      <c r="F86"/>
      <c r="G86"/>
      <c r="H86">
        <v>5.016</v>
      </c>
      <c r="I86">
        <v>5.0250000000000004</v>
      </c>
      <c r="J86">
        <v>5.008</v>
      </c>
      <c r="K86">
        <v>4.9809999999999999</v>
      </c>
      <c r="L86">
        <v>4.9950000000000001</v>
      </c>
      <c r="M86">
        <v>5.0339999999999998</v>
      </c>
      <c r="N86" s="14"/>
      <c r="O86" s="13"/>
    </row>
    <row r="87" spans="1:15" x14ac:dyDescent="0.25">
      <c r="A87" s="4">
        <v>85</v>
      </c>
      <c r="B87">
        <v>4.9939999999999998</v>
      </c>
      <c r="C87">
        <v>4.992</v>
      </c>
      <c r="D87">
        <v>4.9950000000000001</v>
      </c>
      <c r="E87">
        <v>5.0039999999999996</v>
      </c>
      <c r="F87">
        <v>4.9720000000000004</v>
      </c>
      <c r="G87">
        <v>4.9859999999999998</v>
      </c>
      <c r="H87">
        <v>4.984</v>
      </c>
      <c r="I87">
        <v>4.9800000000000004</v>
      </c>
      <c r="J87">
        <v>5.01</v>
      </c>
      <c r="K87">
        <v>5.008</v>
      </c>
      <c r="L87">
        <v>5.0090000000000003</v>
      </c>
      <c r="M87">
        <v>4.99</v>
      </c>
      <c r="N87" s="14"/>
      <c r="O87" s="13"/>
    </row>
    <row r="88" spans="1:15" x14ac:dyDescent="0.25">
      <c r="A88" s="4">
        <v>86</v>
      </c>
      <c r="B88">
        <v>5.0030000000000001</v>
      </c>
      <c r="C88">
        <v>4.9729999999999999</v>
      </c>
      <c r="D88">
        <v>5.01</v>
      </c>
      <c r="E88">
        <v>5.0030000000000001</v>
      </c>
      <c r="F88">
        <v>5.0389999999999997</v>
      </c>
      <c r="G88">
        <v>5.008</v>
      </c>
      <c r="H88">
        <v>5.0270000000000001</v>
      </c>
      <c r="I88">
        <v>4.9939999999999998</v>
      </c>
      <c r="J88">
        <v>5.016</v>
      </c>
      <c r="K88">
        <v>5.0270000000000001</v>
      </c>
      <c r="L88">
        <v>4.9989999999999997</v>
      </c>
      <c r="M88">
        <v>4.9950000000000001</v>
      </c>
      <c r="N88" s="14"/>
      <c r="O88" s="13"/>
    </row>
    <row r="89" spans="1:15" x14ac:dyDescent="0.25">
      <c r="A89" s="4">
        <v>87</v>
      </c>
      <c r="B89">
        <v>5.0119999999999996</v>
      </c>
      <c r="C89">
        <v>5.03</v>
      </c>
      <c r="D89">
        <v>5.0270000000000001</v>
      </c>
      <c r="E89">
        <v>4.9859999999999998</v>
      </c>
      <c r="F89">
        <v>5.0339999999999998</v>
      </c>
      <c r="G89">
        <v>5.0030000000000001</v>
      </c>
      <c r="H89">
        <v>5.0110000000000001</v>
      </c>
      <c r="I89">
        <v>5.01</v>
      </c>
      <c r="J89">
        <v>5.0129999999999999</v>
      </c>
      <c r="K89">
        <v>5.01</v>
      </c>
      <c r="L89">
        <v>5.0270000000000001</v>
      </c>
      <c r="M89">
        <v>4.9980000000000002</v>
      </c>
      <c r="N89" s="14"/>
      <c r="O89" s="13"/>
    </row>
    <row r="90" spans="1:15" x14ac:dyDescent="0.25">
      <c r="A90" s="4">
        <v>88</v>
      </c>
      <c r="B90">
        <v>5.0019999999999998</v>
      </c>
      <c r="C90">
        <v>5.016</v>
      </c>
      <c r="D90">
        <v>5.0019999999999998</v>
      </c>
      <c r="E90">
        <v>5.0410000000000004</v>
      </c>
      <c r="F90">
        <v>5.0090000000000003</v>
      </c>
      <c r="G90">
        <v>4.9930000000000003</v>
      </c>
      <c r="H90">
        <v>4.9790000000000001</v>
      </c>
      <c r="I90">
        <v>5.0030000000000001</v>
      </c>
      <c r="J90">
        <v>5.016</v>
      </c>
      <c r="K90">
        <v>5.0010000000000003</v>
      </c>
      <c r="L90">
        <v>5.0350000000000001</v>
      </c>
      <c r="M90">
        <v>5.0069999999999997</v>
      </c>
      <c r="N90" s="14"/>
      <c r="O90" s="13"/>
    </row>
    <row r="91" spans="1:15" x14ac:dyDescent="0.25">
      <c r="A91" s="4">
        <v>89</v>
      </c>
      <c r="B91">
        <v>4.99</v>
      </c>
      <c r="C91">
        <v>4.9660000000000002</v>
      </c>
      <c r="D91">
        <v>4.9390000000000001</v>
      </c>
      <c r="E91">
        <v>5</v>
      </c>
      <c r="F91">
        <v>4.9359999999999999</v>
      </c>
      <c r="G91">
        <v>4.9850000000000003</v>
      </c>
      <c r="H91">
        <v>5.0019999999999998</v>
      </c>
      <c r="I91">
        <v>5.0069999999999997</v>
      </c>
      <c r="J91">
        <v>4.9969999999999999</v>
      </c>
      <c r="K91">
        <v>4.9720000000000004</v>
      </c>
      <c r="L91">
        <v>4.9909999999999997</v>
      </c>
      <c r="M91">
        <v>4.9880000000000004</v>
      </c>
      <c r="N91" s="14"/>
      <c r="O91" s="13"/>
    </row>
    <row r="92" spans="1:15" x14ac:dyDescent="0.25">
      <c r="A92" s="4">
        <v>90</v>
      </c>
      <c r="B92">
        <v>4.9960000000000004</v>
      </c>
      <c r="C92">
        <v>4.9649999999999999</v>
      </c>
      <c r="D92">
        <v>4.9889999999999999</v>
      </c>
      <c r="E92">
        <v>4.9720000000000004</v>
      </c>
      <c r="F92">
        <v>4.9470000000000001</v>
      </c>
      <c r="G92">
        <v>5.0119999999999996</v>
      </c>
      <c r="H92">
        <v>5.0090000000000003</v>
      </c>
      <c r="I92">
        <v>4.9989999999999997</v>
      </c>
      <c r="J92">
        <v>4.9829999999999997</v>
      </c>
      <c r="K92">
        <v>4.9790000000000001</v>
      </c>
      <c r="L92">
        <v>4.992</v>
      </c>
      <c r="M92">
        <v>5.0060000000000002</v>
      </c>
      <c r="N92" s="14"/>
      <c r="O92" s="13"/>
    </row>
    <row r="93" spans="1:15" x14ac:dyDescent="0.25">
      <c r="A93" s="4">
        <v>91</v>
      </c>
      <c r="B93">
        <v>5.0039999999999996</v>
      </c>
      <c r="C93">
        <v>4.9800000000000004</v>
      </c>
      <c r="D93">
        <v>4.9969999999999999</v>
      </c>
      <c r="E93">
        <v>4.9820000000000002</v>
      </c>
      <c r="F93">
        <v>4.9690000000000003</v>
      </c>
      <c r="G93">
        <v>5.01</v>
      </c>
      <c r="H93">
        <v>5.0019999999999998</v>
      </c>
      <c r="I93">
        <v>5.0010000000000003</v>
      </c>
      <c r="J93">
        <v>5.0199999999999996</v>
      </c>
      <c r="K93">
        <v>5.01</v>
      </c>
      <c r="L93">
        <v>5.0049999999999999</v>
      </c>
      <c r="M93">
        <v>5</v>
      </c>
      <c r="N93" s="14"/>
      <c r="O93" s="13"/>
    </row>
    <row r="94" spans="1:15" x14ac:dyDescent="0.25">
      <c r="A94" s="4">
        <v>92</v>
      </c>
      <c r="B94">
        <v>5.0170000000000003</v>
      </c>
      <c r="C94">
        <v>5.03</v>
      </c>
      <c r="D94">
        <v>4.9560000000000004</v>
      </c>
      <c r="E94">
        <v>5.0110000000000001</v>
      </c>
      <c r="F94">
        <v>4.9660000000000002</v>
      </c>
      <c r="G94">
        <v>4.9980000000000002</v>
      </c>
      <c r="H94">
        <v>4.9930000000000003</v>
      </c>
      <c r="I94">
        <v>5.0140000000000002</v>
      </c>
      <c r="J94">
        <v>4.9749999999999996</v>
      </c>
      <c r="K94">
        <v>5.0039999999999996</v>
      </c>
      <c r="L94">
        <v>4.99</v>
      </c>
      <c r="M94">
        <v>5.0069999999999997</v>
      </c>
      <c r="N94" s="14"/>
      <c r="O94" s="13"/>
    </row>
    <row r="95" spans="1:15" x14ac:dyDescent="0.25">
      <c r="A95" s="4">
        <v>93</v>
      </c>
      <c r="B95">
        <v>5.0030000000000001</v>
      </c>
      <c r="C95">
        <v>5.0309999999999997</v>
      </c>
      <c r="D95">
        <v>4.976</v>
      </c>
      <c r="E95">
        <v>5.0279999999999996</v>
      </c>
      <c r="F95">
        <v>5.0149999999999997</v>
      </c>
      <c r="G95">
        <v>5.0010000000000003</v>
      </c>
      <c r="H95">
        <v>4.9610000000000003</v>
      </c>
      <c r="I95">
        <v>4.9950000000000001</v>
      </c>
      <c r="J95">
        <v>4.9829999999999997</v>
      </c>
      <c r="K95">
        <v>4.9960000000000004</v>
      </c>
      <c r="L95">
        <v>5.0039999999999996</v>
      </c>
      <c r="M95">
        <v>4.9889999999999999</v>
      </c>
      <c r="N95" s="14"/>
      <c r="O95" s="13"/>
    </row>
    <row r="96" spans="1:15" x14ac:dyDescent="0.25">
      <c r="A96" s="4">
        <v>94</v>
      </c>
      <c r="B96">
        <v>4.9880000000000004</v>
      </c>
      <c r="C96">
        <v>4.9790000000000001</v>
      </c>
      <c r="D96">
        <v>5.032</v>
      </c>
      <c r="E96">
        <v>4.9980000000000002</v>
      </c>
      <c r="F96">
        <v>5.0010000000000003</v>
      </c>
      <c r="G96">
        <v>4.9779999999999998</v>
      </c>
      <c r="H96">
        <v>4.9829999999999997</v>
      </c>
      <c r="I96">
        <v>4.9969999999999999</v>
      </c>
      <c r="J96">
        <v>5.0049999999999999</v>
      </c>
      <c r="K96">
        <v>4.9930000000000003</v>
      </c>
      <c r="L96">
        <v>4.9909999999999997</v>
      </c>
      <c r="M96">
        <v>4.9880000000000004</v>
      </c>
      <c r="N96" s="14"/>
      <c r="O96" s="13"/>
    </row>
    <row r="97" spans="1:15" x14ac:dyDescent="0.25">
      <c r="A97" s="4">
        <v>95</v>
      </c>
      <c r="B97">
        <v>4.9729999999999999</v>
      </c>
      <c r="C97">
        <v>4.9960000000000004</v>
      </c>
      <c r="D97">
        <v>5.0149999999999997</v>
      </c>
      <c r="E97">
        <v>4.9850000000000003</v>
      </c>
      <c r="F97">
        <v>4.9829999999999997</v>
      </c>
      <c r="G97">
        <v>4.9909999999999997</v>
      </c>
      <c r="H97">
        <v>5.0460000000000003</v>
      </c>
      <c r="I97">
        <v>5.0090000000000003</v>
      </c>
      <c r="J97">
        <v>4.9969999999999999</v>
      </c>
      <c r="K97">
        <v>4.984</v>
      </c>
      <c r="L97">
        <v>5.0090000000000003</v>
      </c>
      <c r="M97">
        <v>4.9820000000000002</v>
      </c>
      <c r="N97" s="14"/>
      <c r="O97" s="13"/>
    </row>
    <row r="98" spans="1:15" x14ac:dyDescent="0.25">
      <c r="A98" s="4">
        <v>96</v>
      </c>
      <c r="B98"/>
      <c r="C98"/>
      <c r="D98"/>
      <c r="E98"/>
      <c r="F98"/>
      <c r="G98"/>
      <c r="H98">
        <v>5.0330000000000004</v>
      </c>
      <c r="I98">
        <v>4.9939999999999998</v>
      </c>
      <c r="J98">
        <v>4.9969999999999999</v>
      </c>
      <c r="K98">
        <v>4.9980000000000002</v>
      </c>
      <c r="L98">
        <v>5.0019999999999998</v>
      </c>
      <c r="M98">
        <v>4.9859999999999998</v>
      </c>
      <c r="N98" s="14"/>
      <c r="O98" s="13"/>
    </row>
    <row r="99" spans="1:15" x14ac:dyDescent="0.25">
      <c r="A99" s="4">
        <v>97</v>
      </c>
      <c r="B99">
        <v>5.0170000000000003</v>
      </c>
      <c r="C99">
        <v>4.9889999999999999</v>
      </c>
      <c r="D99">
        <v>4.992</v>
      </c>
      <c r="E99">
        <v>5.0110000000000001</v>
      </c>
      <c r="F99">
        <v>4.9989999999999997</v>
      </c>
      <c r="G99">
        <v>5.0140000000000002</v>
      </c>
      <c r="H99">
        <v>4.9740000000000002</v>
      </c>
      <c r="I99">
        <v>4.9880000000000004</v>
      </c>
      <c r="J99">
        <v>5.0209999999999999</v>
      </c>
      <c r="K99">
        <v>5.0069999999999997</v>
      </c>
      <c r="L99">
        <v>4.9939999999999998</v>
      </c>
      <c r="M99">
        <v>5.0140000000000002</v>
      </c>
      <c r="N99" s="14"/>
      <c r="O99" s="13"/>
    </row>
    <row r="100" spans="1:15" x14ac:dyDescent="0.25">
      <c r="A100" s="4">
        <v>98</v>
      </c>
      <c r="B100">
        <v>4.9870000000000001</v>
      </c>
      <c r="C100">
        <v>4.9779999999999998</v>
      </c>
      <c r="D100">
        <v>4.9969999999999999</v>
      </c>
      <c r="E100">
        <v>5</v>
      </c>
      <c r="F100">
        <v>5.0149999999999997</v>
      </c>
      <c r="G100">
        <v>5.0019999999999998</v>
      </c>
      <c r="H100">
        <v>4.9880000000000004</v>
      </c>
      <c r="I100">
        <v>4.9770000000000003</v>
      </c>
      <c r="J100">
        <v>4.9820000000000002</v>
      </c>
      <c r="K100">
        <v>5.0339999999999998</v>
      </c>
      <c r="L100">
        <v>4.9820000000000002</v>
      </c>
      <c r="M100">
        <v>5.0039999999999996</v>
      </c>
      <c r="N100" s="14"/>
      <c r="O100" s="13"/>
    </row>
    <row r="101" spans="1:15" x14ac:dyDescent="0.25">
      <c r="A101" s="4">
        <v>99</v>
      </c>
      <c r="B101"/>
      <c r="C101"/>
      <c r="D101"/>
      <c r="E101"/>
      <c r="F101"/>
      <c r="G101"/>
      <c r="H101">
        <v>4.99</v>
      </c>
      <c r="I101">
        <v>5.008</v>
      </c>
      <c r="J101">
        <v>4.9939999999999998</v>
      </c>
      <c r="K101">
        <v>4.9980000000000002</v>
      </c>
      <c r="L101">
        <v>5.0190000000000001</v>
      </c>
      <c r="M101">
        <v>5.0110000000000001</v>
      </c>
      <c r="N101" s="14"/>
      <c r="O101" s="13"/>
    </row>
    <row r="102" spans="1:15" x14ac:dyDescent="0.25">
      <c r="A102" s="4">
        <v>100</v>
      </c>
      <c r="B102">
        <v>4.9829999999999997</v>
      </c>
      <c r="C102">
        <v>5.0030000000000001</v>
      </c>
      <c r="D102">
        <v>4.9850000000000003</v>
      </c>
      <c r="E102">
        <v>4.97</v>
      </c>
      <c r="F102">
        <v>4.9980000000000002</v>
      </c>
      <c r="G102">
        <v>4.9660000000000002</v>
      </c>
      <c r="H102">
        <v>4.9989999999999997</v>
      </c>
      <c r="I102">
        <v>5.0129999999999999</v>
      </c>
      <c r="J102">
        <v>5.0049999999999999</v>
      </c>
      <c r="K102">
        <v>4.9909999999999997</v>
      </c>
      <c r="L102">
        <v>5.0190000000000001</v>
      </c>
      <c r="M102">
        <v>5.0209999999999999</v>
      </c>
      <c r="N102" s="14"/>
      <c r="O102" s="13"/>
    </row>
    <row r="103" spans="1:15" x14ac:dyDescent="0.25">
      <c r="A103" s="4">
        <v>101</v>
      </c>
      <c r="B103">
        <v>5.0010000000000003</v>
      </c>
      <c r="C103">
        <v>5.0289999999999999</v>
      </c>
      <c r="D103">
        <v>4.9989999999999997</v>
      </c>
      <c r="E103">
        <v>4.9960000000000004</v>
      </c>
      <c r="F103">
        <v>5.0199999999999996</v>
      </c>
      <c r="G103">
        <v>4.9939999999999998</v>
      </c>
      <c r="H103"/>
      <c r="I103"/>
      <c r="J103"/>
      <c r="K103"/>
      <c r="L103"/>
      <c r="M103"/>
      <c r="N103" s="15"/>
      <c r="O103" s="13"/>
    </row>
    <row r="104" spans="1:15" x14ac:dyDescent="0.25">
      <c r="A104" s="4">
        <v>102</v>
      </c>
      <c r="B104">
        <v>5.032</v>
      </c>
      <c r="C104">
        <v>5.0229999999999997</v>
      </c>
      <c r="D104">
        <v>5.0209999999999999</v>
      </c>
      <c r="E104">
        <v>5.0279999999999996</v>
      </c>
      <c r="F104">
        <v>5.0090000000000003</v>
      </c>
      <c r="G104">
        <v>5.0369999999999999</v>
      </c>
      <c r="H104">
        <v>5.0279999999999996</v>
      </c>
      <c r="I104">
        <v>4.9779999999999998</v>
      </c>
      <c r="J104">
        <v>5.0060000000000002</v>
      </c>
      <c r="K104">
        <v>4.9980000000000002</v>
      </c>
      <c r="L104">
        <v>4.9889999999999999</v>
      </c>
      <c r="M104">
        <v>4.9809999999999999</v>
      </c>
      <c r="N104" s="14"/>
      <c r="O104" s="13"/>
    </row>
    <row r="105" spans="1:15" x14ac:dyDescent="0.25">
      <c r="A105" s="4">
        <v>103</v>
      </c>
      <c r="B105">
        <v>5.0190000000000001</v>
      </c>
      <c r="C105">
        <v>4.9989999999999997</v>
      </c>
      <c r="D105">
        <v>5.0069999999999997</v>
      </c>
      <c r="E105">
        <v>5.0129999999999999</v>
      </c>
      <c r="F105">
        <v>4.9790000000000001</v>
      </c>
      <c r="G105">
        <v>5.04</v>
      </c>
      <c r="H105">
        <v>5.0110000000000001</v>
      </c>
      <c r="I105">
        <v>4.9960000000000004</v>
      </c>
      <c r="J105">
        <v>4.9829999999999997</v>
      </c>
      <c r="K105">
        <v>5.0039999999999996</v>
      </c>
      <c r="L105">
        <v>4.9749999999999996</v>
      </c>
      <c r="M105">
        <v>4.9989999999999997</v>
      </c>
      <c r="N105" s="14"/>
      <c r="O105" s="13"/>
    </row>
    <row r="106" spans="1:15" x14ac:dyDescent="0.25">
      <c r="A106" s="4">
        <v>104</v>
      </c>
      <c r="B106">
        <v>4.9980000000000002</v>
      </c>
      <c r="C106">
        <v>4.9950000000000001</v>
      </c>
      <c r="D106">
        <v>4.9889999999999999</v>
      </c>
      <c r="E106">
        <v>4.9989999999999997</v>
      </c>
      <c r="F106">
        <v>5.008</v>
      </c>
      <c r="G106">
        <v>4.9820000000000002</v>
      </c>
      <c r="H106">
        <v>4.9969999999999999</v>
      </c>
      <c r="I106">
        <v>5.0220000000000002</v>
      </c>
      <c r="J106">
        <v>5.0119999999999996</v>
      </c>
      <c r="K106">
        <v>5.0039999999999996</v>
      </c>
      <c r="L106">
        <v>5.0039999999999996</v>
      </c>
      <c r="M106">
        <v>5.0030000000000001</v>
      </c>
      <c r="N106" s="14"/>
      <c r="O106" s="13"/>
    </row>
    <row r="107" spans="1:15" x14ac:dyDescent="0.25">
      <c r="A107" s="4">
        <v>105</v>
      </c>
      <c r="B107">
        <v>4.97</v>
      </c>
      <c r="C107">
        <v>4.9649999999999999</v>
      </c>
      <c r="D107">
        <v>4.9729999999999999</v>
      </c>
      <c r="E107">
        <v>4.9749999999999996</v>
      </c>
      <c r="F107">
        <v>5.0110000000000001</v>
      </c>
      <c r="G107">
        <v>5.0039999999999996</v>
      </c>
      <c r="H107">
        <v>5.0069999999999997</v>
      </c>
      <c r="I107">
        <v>5.0369999999999999</v>
      </c>
      <c r="J107">
        <v>5.0309999999999997</v>
      </c>
      <c r="K107">
        <v>5.0129999999999999</v>
      </c>
      <c r="L107">
        <v>4.9950000000000001</v>
      </c>
      <c r="M107">
        <v>5.04</v>
      </c>
      <c r="N107" s="14"/>
      <c r="O107" s="13"/>
    </row>
    <row r="108" spans="1:15" x14ac:dyDescent="0.25">
      <c r="A108" s="4">
        <v>106</v>
      </c>
      <c r="B108">
        <v>5.0010000000000003</v>
      </c>
      <c r="C108">
        <v>5.0179999999999998</v>
      </c>
      <c r="D108">
        <v>5.0129999999999999</v>
      </c>
      <c r="E108">
        <v>5.0170000000000003</v>
      </c>
      <c r="F108">
        <v>4.9939999999999998</v>
      </c>
      <c r="G108">
        <v>5.0030000000000001</v>
      </c>
      <c r="H108">
        <v>5.0019999999999998</v>
      </c>
      <c r="I108">
        <v>4.9829999999999997</v>
      </c>
      <c r="J108">
        <v>4.9640000000000004</v>
      </c>
      <c r="K108">
        <v>4.9630000000000001</v>
      </c>
      <c r="L108">
        <v>4.9729999999999999</v>
      </c>
      <c r="M108">
        <v>4.9770000000000003</v>
      </c>
      <c r="N108" s="14"/>
      <c r="O108" s="13"/>
    </row>
    <row r="109" spans="1:15" x14ac:dyDescent="0.25">
      <c r="A109" s="4">
        <v>107</v>
      </c>
      <c r="B109">
        <v>4.9930000000000003</v>
      </c>
      <c r="C109">
        <v>5.0190000000000001</v>
      </c>
      <c r="D109">
        <v>5.0359999999999996</v>
      </c>
      <c r="E109">
        <v>5.0039999999999996</v>
      </c>
      <c r="F109">
        <v>4.9880000000000004</v>
      </c>
      <c r="G109">
        <v>4.9770000000000003</v>
      </c>
      <c r="H109">
        <v>4.9539999999999997</v>
      </c>
      <c r="I109">
        <v>4.97</v>
      </c>
      <c r="J109">
        <v>4.9589999999999996</v>
      </c>
      <c r="K109">
        <v>4.9740000000000002</v>
      </c>
      <c r="L109">
        <v>4.9550000000000001</v>
      </c>
      <c r="M109">
        <v>4.9550000000000001</v>
      </c>
      <c r="N109" s="14"/>
      <c r="O109" s="13"/>
    </row>
    <row r="110" spans="1:15" x14ac:dyDescent="0.25">
      <c r="A110" s="4">
        <v>108</v>
      </c>
      <c r="B110">
        <v>5.008</v>
      </c>
      <c r="C110">
        <v>4.9909999999999997</v>
      </c>
      <c r="D110">
        <v>4.9950000000000001</v>
      </c>
      <c r="E110">
        <v>4.99</v>
      </c>
      <c r="F110">
        <v>4.9580000000000002</v>
      </c>
      <c r="G110">
        <v>4.9969999999999999</v>
      </c>
      <c r="H110">
        <v>4.9870000000000001</v>
      </c>
      <c r="I110">
        <v>4.9820000000000002</v>
      </c>
      <c r="J110">
        <v>5.0010000000000003</v>
      </c>
      <c r="K110">
        <v>5.0060000000000002</v>
      </c>
      <c r="L110">
        <v>5.0250000000000004</v>
      </c>
      <c r="M110">
        <v>5.0170000000000003</v>
      </c>
      <c r="N110" s="14"/>
      <c r="O110" s="13"/>
    </row>
    <row r="111" spans="1:15" x14ac:dyDescent="0.25">
      <c r="A111" s="4">
        <v>109</v>
      </c>
      <c r="B111">
        <v>4.9950000000000001</v>
      </c>
      <c r="C111">
        <v>5.0030000000000001</v>
      </c>
      <c r="D111">
        <v>5.0110000000000001</v>
      </c>
      <c r="E111">
        <v>5</v>
      </c>
      <c r="F111">
        <v>5.0149999999999997</v>
      </c>
      <c r="G111">
        <v>5.0220000000000002</v>
      </c>
      <c r="H111">
        <v>5.0149999999999997</v>
      </c>
      <c r="I111">
        <v>4.9829999999999997</v>
      </c>
      <c r="J111">
        <v>5.0170000000000003</v>
      </c>
      <c r="K111">
        <v>5.0129999999999999</v>
      </c>
      <c r="L111">
        <v>5.0279999999999996</v>
      </c>
      <c r="M111">
        <v>5.0110000000000001</v>
      </c>
      <c r="N111" s="14"/>
      <c r="O111" s="13"/>
    </row>
    <row r="112" spans="1:15" x14ac:dyDescent="0.25">
      <c r="A112" s="4">
        <v>110</v>
      </c>
      <c r="B112">
        <v>4.9870000000000001</v>
      </c>
      <c r="C112">
        <v>4.984</v>
      </c>
      <c r="D112">
        <v>4.9779999999999998</v>
      </c>
      <c r="E112">
        <v>5.0149999999999997</v>
      </c>
      <c r="F112">
        <v>5.0359999999999996</v>
      </c>
      <c r="G112">
        <v>4.9640000000000004</v>
      </c>
      <c r="H112"/>
      <c r="I112"/>
      <c r="J112"/>
      <c r="K112"/>
      <c r="L112"/>
      <c r="M112"/>
      <c r="N112" s="14"/>
      <c r="O112" s="13"/>
    </row>
    <row r="113" spans="1:15" x14ac:dyDescent="0.25">
      <c r="A113" s="4">
        <v>111</v>
      </c>
      <c r="B113">
        <v>5.0279999999999996</v>
      </c>
      <c r="C113">
        <v>5.0119999999999996</v>
      </c>
      <c r="D113">
        <v>5.0019999999999998</v>
      </c>
      <c r="E113">
        <v>4.9640000000000004</v>
      </c>
      <c r="F113">
        <v>4.9859999999999998</v>
      </c>
      <c r="G113">
        <v>4.968</v>
      </c>
      <c r="H113">
        <v>4.9969999999999999</v>
      </c>
      <c r="I113">
        <v>5.0199999999999996</v>
      </c>
      <c r="J113">
        <v>4.9880000000000004</v>
      </c>
      <c r="K113">
        <v>5.0270000000000001</v>
      </c>
      <c r="L113">
        <v>4.9660000000000002</v>
      </c>
      <c r="M113">
        <v>4.9770000000000003</v>
      </c>
      <c r="N113" s="14"/>
      <c r="O113" s="13"/>
    </row>
    <row r="114" spans="1:15" x14ac:dyDescent="0.25">
      <c r="A114" s="4">
        <v>112</v>
      </c>
      <c r="B114">
        <v>5.0279999999999996</v>
      </c>
      <c r="C114">
        <v>4.9870000000000001</v>
      </c>
      <c r="D114">
        <v>5.0039999999999996</v>
      </c>
      <c r="E114">
        <v>4.9850000000000003</v>
      </c>
      <c r="F114">
        <v>5.0570000000000004</v>
      </c>
      <c r="G114">
        <v>5.0119999999999996</v>
      </c>
      <c r="H114">
        <v>5.0209999999999999</v>
      </c>
      <c r="I114">
        <v>5.0469999999999997</v>
      </c>
      <c r="J114">
        <v>5.0179999999999998</v>
      </c>
      <c r="K114">
        <v>5.0380000000000003</v>
      </c>
      <c r="L114">
        <v>5.0149999999999997</v>
      </c>
      <c r="M114">
        <v>4.9939999999999998</v>
      </c>
      <c r="N114" s="14"/>
      <c r="O114" s="13"/>
    </row>
    <row r="115" spans="1:15" x14ac:dyDescent="0.25">
      <c r="A115" s="4">
        <v>113</v>
      </c>
      <c r="B115">
        <v>5.0129999999999999</v>
      </c>
      <c r="C115">
        <v>4.9880000000000004</v>
      </c>
      <c r="D115">
        <v>4.9779999999999998</v>
      </c>
      <c r="E115">
        <v>5.0060000000000002</v>
      </c>
      <c r="F115">
        <v>5.0129999999999999</v>
      </c>
      <c r="G115">
        <v>5.0519999999999996</v>
      </c>
      <c r="H115">
        <v>5.0289999999999999</v>
      </c>
      <c r="I115">
        <v>5.0049999999999999</v>
      </c>
      <c r="J115">
        <v>5.016</v>
      </c>
      <c r="K115">
        <v>5.0199999999999996</v>
      </c>
      <c r="L115">
        <v>5</v>
      </c>
      <c r="M115">
        <v>5.0179999999999998</v>
      </c>
      <c r="N115" s="14"/>
      <c r="O115" s="13"/>
    </row>
    <row r="116" spans="1:15" x14ac:dyDescent="0.25">
      <c r="A116" s="4">
        <v>114</v>
      </c>
      <c r="B116">
        <v>4.9770000000000003</v>
      </c>
      <c r="C116">
        <v>5.016</v>
      </c>
      <c r="D116">
        <v>5.0250000000000004</v>
      </c>
      <c r="E116">
        <v>5.0289999999999999</v>
      </c>
      <c r="F116">
        <v>4.9790000000000001</v>
      </c>
      <c r="G116">
        <v>5.0010000000000003</v>
      </c>
      <c r="H116">
        <v>4.984</v>
      </c>
      <c r="I116">
        <v>5.0049999999999999</v>
      </c>
      <c r="J116">
        <v>5.0140000000000002</v>
      </c>
      <c r="K116">
        <v>4.9930000000000003</v>
      </c>
      <c r="L116">
        <v>5.0339999999999998</v>
      </c>
      <c r="M116">
        <v>5.0119999999999996</v>
      </c>
      <c r="N116" s="14"/>
      <c r="O116" s="13"/>
    </row>
    <row r="117" spans="1:15" x14ac:dyDescent="0.25">
      <c r="A117" s="4">
        <v>115</v>
      </c>
      <c r="B117">
        <v>5.0039999999999996</v>
      </c>
      <c r="C117">
        <v>5.0039999999999996</v>
      </c>
      <c r="D117">
        <v>4.9850000000000003</v>
      </c>
      <c r="E117">
        <v>5.0220000000000002</v>
      </c>
      <c r="F117">
        <v>4.9969999999999999</v>
      </c>
      <c r="G117">
        <v>4.9969999999999999</v>
      </c>
      <c r="H117">
        <v>4.9820000000000002</v>
      </c>
      <c r="I117">
        <v>4.9859999999999998</v>
      </c>
      <c r="J117">
        <v>5.01</v>
      </c>
      <c r="K117">
        <v>4.9640000000000004</v>
      </c>
      <c r="L117">
        <v>5.0330000000000004</v>
      </c>
      <c r="M117">
        <v>5.0119999999999996</v>
      </c>
      <c r="N117" s="14"/>
      <c r="O117" s="13"/>
    </row>
    <row r="118" spans="1:15" x14ac:dyDescent="0.25">
      <c r="A118" s="4">
        <v>116</v>
      </c>
      <c r="B118">
        <v>4.9850000000000003</v>
      </c>
      <c r="C118">
        <v>4.9889999999999999</v>
      </c>
      <c r="D118">
        <v>5.01</v>
      </c>
      <c r="E118">
        <v>4.976</v>
      </c>
      <c r="F118">
        <v>4.9489999999999998</v>
      </c>
      <c r="G118">
        <v>5.008</v>
      </c>
      <c r="H118">
        <v>4.9829999999999997</v>
      </c>
      <c r="I118">
        <v>5</v>
      </c>
      <c r="J118">
        <v>5.016</v>
      </c>
      <c r="K118">
        <v>4.9710000000000001</v>
      </c>
      <c r="L118">
        <v>5.0350000000000001</v>
      </c>
      <c r="M118">
        <v>4.9950000000000001</v>
      </c>
      <c r="N118" s="14"/>
      <c r="O118" s="13"/>
    </row>
    <row r="119" spans="1:15" x14ac:dyDescent="0.25">
      <c r="A119" s="4">
        <v>117</v>
      </c>
      <c r="B119">
        <v>4.9909999999999997</v>
      </c>
      <c r="C119">
        <v>4.99</v>
      </c>
      <c r="D119">
        <v>5.0019999999999998</v>
      </c>
      <c r="E119">
        <v>4.9889999999999999</v>
      </c>
      <c r="F119">
        <v>4.9669999999999996</v>
      </c>
      <c r="G119">
        <v>5</v>
      </c>
      <c r="H119">
        <v>5.0270000000000001</v>
      </c>
      <c r="I119">
        <v>4.9870000000000001</v>
      </c>
      <c r="J119">
        <v>4.9690000000000003</v>
      </c>
      <c r="K119">
        <v>4.9749999999999996</v>
      </c>
      <c r="L119">
        <v>4.99</v>
      </c>
      <c r="M119">
        <v>5.0129999999999999</v>
      </c>
      <c r="N119" s="14"/>
      <c r="O119" s="13"/>
    </row>
    <row r="120" spans="1:15" x14ac:dyDescent="0.25">
      <c r="A120" s="4">
        <v>118</v>
      </c>
      <c r="B120">
        <v>4.992</v>
      </c>
      <c r="C120">
        <v>4.9829999999999997</v>
      </c>
      <c r="D120">
        <v>4.9660000000000002</v>
      </c>
      <c r="E120">
        <v>5.0129999999999999</v>
      </c>
      <c r="F120">
        <v>4.9980000000000002</v>
      </c>
      <c r="G120">
        <v>4.976</v>
      </c>
      <c r="H120">
        <v>5.0129999999999999</v>
      </c>
      <c r="I120">
        <v>5.0049999999999999</v>
      </c>
      <c r="J120">
        <v>4.9859999999999998</v>
      </c>
      <c r="K120">
        <v>4.9809999999999999</v>
      </c>
      <c r="L120">
        <v>4.99</v>
      </c>
      <c r="M120">
        <v>5.0199999999999996</v>
      </c>
      <c r="N120" s="14"/>
      <c r="O120" s="13"/>
    </row>
    <row r="121" spans="1:15" x14ac:dyDescent="0.25">
      <c r="A121" s="4">
        <v>119</v>
      </c>
      <c r="B121">
        <v>4.9989999999999997</v>
      </c>
      <c r="C121">
        <v>5.008</v>
      </c>
      <c r="D121">
        <v>4.9960000000000004</v>
      </c>
      <c r="E121">
        <v>5.0129999999999999</v>
      </c>
      <c r="F121">
        <v>5.0170000000000003</v>
      </c>
      <c r="G121">
        <v>4.9930000000000003</v>
      </c>
      <c r="H121">
        <v>4.9880000000000004</v>
      </c>
      <c r="I121">
        <v>4.9880000000000004</v>
      </c>
      <c r="J121">
        <v>5.016</v>
      </c>
      <c r="K121">
        <v>4.9989999999999997</v>
      </c>
      <c r="L121">
        <v>4.9880000000000004</v>
      </c>
      <c r="M121">
        <v>4.976</v>
      </c>
      <c r="N121" s="14"/>
      <c r="O121" s="13"/>
    </row>
    <row r="122" spans="1:15" x14ac:dyDescent="0.25">
      <c r="A122" s="4">
        <v>120</v>
      </c>
      <c r="B122">
        <v>5.0039999999999996</v>
      </c>
      <c r="C122">
        <v>5.01</v>
      </c>
      <c r="D122">
        <v>5.0220000000000002</v>
      </c>
      <c r="E122">
        <v>4.9800000000000004</v>
      </c>
      <c r="F122">
        <v>4.9779999999999998</v>
      </c>
      <c r="G122">
        <v>5.0190000000000001</v>
      </c>
      <c r="H122"/>
      <c r="I122"/>
      <c r="J122"/>
      <c r="K122"/>
      <c r="L122"/>
      <c r="M122"/>
      <c r="N122" s="14"/>
      <c r="O122" s="13"/>
    </row>
    <row r="123" spans="1:15" x14ac:dyDescent="0.25">
      <c r="A123" s="4">
        <v>121</v>
      </c>
      <c r="B123">
        <v>4.9989999999999997</v>
      </c>
      <c r="C123">
        <v>5.0110000000000001</v>
      </c>
      <c r="D123">
        <v>5.0090000000000003</v>
      </c>
      <c r="E123">
        <v>5.0220000000000002</v>
      </c>
      <c r="F123">
        <v>5.0380000000000003</v>
      </c>
      <c r="G123">
        <v>5.03</v>
      </c>
      <c r="H123">
        <v>4.9729999999999999</v>
      </c>
      <c r="I123">
        <v>4.9790000000000001</v>
      </c>
      <c r="J123">
        <v>4.968</v>
      </c>
      <c r="K123">
        <v>4.9770000000000003</v>
      </c>
      <c r="L123">
        <v>4.9669999999999996</v>
      </c>
      <c r="M123">
        <v>4.9619999999999997</v>
      </c>
      <c r="N123" s="14"/>
      <c r="O123" s="13"/>
    </row>
    <row r="124" spans="1:15" x14ac:dyDescent="0.25">
      <c r="A124" s="4">
        <v>122</v>
      </c>
      <c r="B124">
        <v>4.9749999999999996</v>
      </c>
      <c r="C124">
        <v>4.9790000000000001</v>
      </c>
      <c r="D124">
        <v>4.9800000000000004</v>
      </c>
      <c r="E124">
        <v>4.9690000000000003</v>
      </c>
      <c r="F124">
        <v>4.9859999999999998</v>
      </c>
      <c r="G124">
        <v>4.9569999999999999</v>
      </c>
      <c r="H124">
        <v>4.9729999999999999</v>
      </c>
      <c r="I124">
        <v>5.0289999999999999</v>
      </c>
      <c r="J124">
        <v>4.9969999999999999</v>
      </c>
      <c r="K124">
        <v>5.0259999999999998</v>
      </c>
      <c r="L124">
        <v>4.96</v>
      </c>
      <c r="M124">
        <v>4.9850000000000003</v>
      </c>
      <c r="N124" s="14"/>
      <c r="O124" s="13"/>
    </row>
    <row r="125" spans="1:15" x14ac:dyDescent="0.25">
      <c r="A125" s="4">
        <v>123</v>
      </c>
      <c r="B125">
        <v>4.992</v>
      </c>
      <c r="C125">
        <v>5.0010000000000003</v>
      </c>
      <c r="D125">
        <v>4.9989999999999997</v>
      </c>
      <c r="E125">
        <v>4.9889999999999999</v>
      </c>
      <c r="F125">
        <v>5.0060000000000002</v>
      </c>
      <c r="G125">
        <v>4.992</v>
      </c>
      <c r="H125">
        <v>4.992</v>
      </c>
      <c r="I125">
        <v>5.0060000000000002</v>
      </c>
      <c r="J125">
        <v>4.9969999999999999</v>
      </c>
      <c r="K125">
        <v>5.0359999999999996</v>
      </c>
      <c r="L125">
        <v>5.0049999999999999</v>
      </c>
      <c r="M125">
        <v>5.0129999999999999</v>
      </c>
      <c r="N125" s="14"/>
      <c r="O125" s="13"/>
    </row>
    <row r="126" spans="1:15" x14ac:dyDescent="0.25">
      <c r="A126" s="4">
        <v>124</v>
      </c>
      <c r="B126">
        <v>5.0220000000000002</v>
      </c>
      <c r="C126">
        <v>5.0170000000000003</v>
      </c>
      <c r="D126">
        <v>5.0199999999999996</v>
      </c>
      <c r="E126">
        <v>5.0229999999999997</v>
      </c>
      <c r="F126">
        <v>5.0359999999999996</v>
      </c>
      <c r="G126">
        <v>5.0129999999999999</v>
      </c>
      <c r="H126">
        <v>5.0129999999999999</v>
      </c>
      <c r="I126">
        <v>4.9880000000000004</v>
      </c>
      <c r="J126">
        <v>5.016</v>
      </c>
      <c r="K126">
        <v>4.9880000000000004</v>
      </c>
      <c r="L126">
        <v>5.0119999999999996</v>
      </c>
      <c r="M126">
        <v>4.9880000000000004</v>
      </c>
      <c r="N126" s="14"/>
      <c r="O126" s="13"/>
    </row>
    <row r="127" spans="1:15" x14ac:dyDescent="0.25">
      <c r="A127" s="4">
        <v>125</v>
      </c>
      <c r="B127">
        <v>5.0019999999999998</v>
      </c>
      <c r="C127">
        <v>5.0030000000000001</v>
      </c>
      <c r="D127">
        <v>5.0010000000000003</v>
      </c>
      <c r="E127">
        <v>5.0060000000000002</v>
      </c>
      <c r="F127">
        <v>4.9870000000000001</v>
      </c>
      <c r="G127">
        <v>5.016</v>
      </c>
      <c r="H127">
        <v>4.9859999999999998</v>
      </c>
      <c r="I127">
        <v>4.9989999999999997</v>
      </c>
      <c r="J127">
        <v>5.0140000000000002</v>
      </c>
      <c r="K127">
        <v>5.0010000000000003</v>
      </c>
      <c r="L127">
        <v>4.9909999999999997</v>
      </c>
      <c r="M127">
        <v>4.9740000000000002</v>
      </c>
      <c r="N127" s="14"/>
      <c r="O127" s="13"/>
    </row>
    <row r="128" spans="1:15" x14ac:dyDescent="0.25">
      <c r="A128" s="4">
        <v>126</v>
      </c>
      <c r="B128">
        <v>4.984</v>
      </c>
      <c r="C128">
        <v>4.9800000000000004</v>
      </c>
      <c r="D128">
        <v>4.9969999999999999</v>
      </c>
      <c r="E128">
        <v>5.0110000000000001</v>
      </c>
      <c r="F128">
        <v>4.9870000000000001</v>
      </c>
      <c r="G128">
        <v>5.0019999999999998</v>
      </c>
      <c r="H128">
        <v>5.0250000000000004</v>
      </c>
      <c r="I128">
        <v>4.9989999999999997</v>
      </c>
      <c r="J128">
        <v>5.0250000000000004</v>
      </c>
      <c r="K128">
        <v>5.0069999999999997</v>
      </c>
      <c r="L128">
        <v>5.032</v>
      </c>
      <c r="M128">
        <v>5.0149999999999997</v>
      </c>
      <c r="N128" s="14"/>
      <c r="O128" s="13"/>
    </row>
    <row r="129" spans="1:15" x14ac:dyDescent="0.25">
      <c r="A129" s="4">
        <v>127</v>
      </c>
      <c r="B129">
        <v>4.9809999999999999</v>
      </c>
      <c r="C129">
        <v>4.9889999999999999</v>
      </c>
      <c r="D129">
        <v>4.976</v>
      </c>
      <c r="E129">
        <v>5.0119999999999996</v>
      </c>
      <c r="F129">
        <v>4.9690000000000003</v>
      </c>
      <c r="G129">
        <v>4.9930000000000003</v>
      </c>
      <c r="H129">
        <v>5.0129999999999999</v>
      </c>
      <c r="I129">
        <v>4.9809999999999999</v>
      </c>
      <c r="J129">
        <v>4.9829999999999997</v>
      </c>
      <c r="K129">
        <v>4.9969999999999999</v>
      </c>
      <c r="L129">
        <v>5.016</v>
      </c>
      <c r="M129">
        <v>5.0090000000000003</v>
      </c>
      <c r="N129" s="14"/>
      <c r="O129" s="13"/>
    </row>
    <row r="130" spans="1:15" x14ac:dyDescent="0.25">
      <c r="A130" s="4">
        <v>128</v>
      </c>
      <c r="B130">
        <v>4.9969999999999999</v>
      </c>
      <c r="C130">
        <v>5.0129999999999999</v>
      </c>
      <c r="D130">
        <v>5.0019999999999998</v>
      </c>
      <c r="E130">
        <v>5</v>
      </c>
      <c r="F130">
        <v>5.0149999999999997</v>
      </c>
      <c r="G130">
        <v>4.9630000000000001</v>
      </c>
      <c r="H130">
        <v>5.0179999999999998</v>
      </c>
      <c r="I130">
        <v>5.0149999999999997</v>
      </c>
      <c r="J130">
        <v>5.01</v>
      </c>
      <c r="K130">
        <v>5.016</v>
      </c>
      <c r="L130">
        <v>4.984</v>
      </c>
      <c r="M130">
        <v>5.03</v>
      </c>
      <c r="N130" s="14"/>
      <c r="O130" s="13"/>
    </row>
    <row r="131" spans="1:15" x14ac:dyDescent="0.25">
      <c r="A131" s="4">
        <v>129</v>
      </c>
      <c r="B131">
        <v>5.0220000000000002</v>
      </c>
      <c r="C131">
        <v>5.008</v>
      </c>
      <c r="D131">
        <v>5.0060000000000002</v>
      </c>
      <c r="E131">
        <v>4.992</v>
      </c>
      <c r="F131">
        <v>5.0199999999999996</v>
      </c>
      <c r="G131">
        <v>5.01</v>
      </c>
      <c r="H131">
        <v>4.96</v>
      </c>
      <c r="I131">
        <v>5.008</v>
      </c>
      <c r="J131">
        <v>4.96</v>
      </c>
      <c r="K131">
        <v>4.9569999999999999</v>
      </c>
      <c r="L131">
        <v>4.9340000000000002</v>
      </c>
      <c r="M131">
        <v>4.984</v>
      </c>
      <c r="N131" s="14"/>
      <c r="O131" s="13"/>
    </row>
    <row r="132" spans="1:15" x14ac:dyDescent="0.25">
      <c r="A132" s="4">
        <v>130</v>
      </c>
      <c r="B132">
        <v>4.9950000000000001</v>
      </c>
      <c r="C132">
        <v>5.0179999999999998</v>
      </c>
      <c r="D132">
        <v>4.9939999999999998</v>
      </c>
      <c r="E132">
        <v>4.9790000000000001</v>
      </c>
      <c r="F132">
        <v>5.0019999999999998</v>
      </c>
      <c r="G132">
        <v>4.9930000000000003</v>
      </c>
      <c r="H132">
        <v>4.9790000000000001</v>
      </c>
      <c r="I132">
        <v>4.968</v>
      </c>
      <c r="J132">
        <v>4.992</v>
      </c>
      <c r="K132">
        <v>4.9660000000000002</v>
      </c>
      <c r="L132">
        <v>4.9930000000000003</v>
      </c>
      <c r="M132">
        <v>4.9770000000000003</v>
      </c>
      <c r="N132" s="14"/>
      <c r="O132" s="13"/>
    </row>
    <row r="133" spans="1:15" x14ac:dyDescent="0.25">
      <c r="A133" s="4">
        <v>131</v>
      </c>
      <c r="B133"/>
      <c r="C133"/>
      <c r="D133"/>
      <c r="E133"/>
      <c r="F133"/>
      <c r="G133"/>
      <c r="H133">
        <v>5.0209999999999999</v>
      </c>
      <c r="I133">
        <v>4.9770000000000003</v>
      </c>
      <c r="J133">
        <v>5.0179999999999998</v>
      </c>
      <c r="K133">
        <v>5.0030000000000001</v>
      </c>
      <c r="L133">
        <v>5.0030000000000001</v>
      </c>
      <c r="M133">
        <v>4.9740000000000002</v>
      </c>
      <c r="N133" s="14"/>
      <c r="O133" s="13"/>
    </row>
    <row r="134" spans="1:15" x14ac:dyDescent="0.25">
      <c r="A134" s="4">
        <v>132</v>
      </c>
      <c r="B134">
        <v>4.9969999999999999</v>
      </c>
      <c r="C134">
        <v>4.9859999999999998</v>
      </c>
      <c r="D134">
        <v>4.9989999999999997</v>
      </c>
      <c r="E134">
        <v>4.9859999999999998</v>
      </c>
      <c r="F134">
        <v>5.0060000000000002</v>
      </c>
      <c r="G134">
        <v>5.0049999999999999</v>
      </c>
      <c r="H134">
        <v>4.9989999999999997</v>
      </c>
      <c r="I134">
        <v>5.0289999999999999</v>
      </c>
      <c r="J134">
        <v>5.0129999999999999</v>
      </c>
      <c r="K134">
        <v>5.04</v>
      </c>
      <c r="L134">
        <v>4.9969999999999999</v>
      </c>
      <c r="M134">
        <v>5.0430000000000001</v>
      </c>
      <c r="N134" s="14"/>
      <c r="O134" s="13"/>
    </row>
    <row r="135" spans="1:15" x14ac:dyDescent="0.25">
      <c r="A135" s="4">
        <v>133</v>
      </c>
      <c r="B135">
        <v>5.0129999999999999</v>
      </c>
      <c r="C135">
        <v>4.9790000000000001</v>
      </c>
      <c r="D135">
        <v>5.01</v>
      </c>
      <c r="E135">
        <v>4.9889999999999999</v>
      </c>
      <c r="F135">
        <v>5.0190000000000001</v>
      </c>
      <c r="G135">
        <v>5.0220000000000002</v>
      </c>
      <c r="H135">
        <v>4.9889999999999999</v>
      </c>
      <c r="I135">
        <v>5.0069999999999997</v>
      </c>
      <c r="J135">
        <v>5.0119999999999996</v>
      </c>
      <c r="K135">
        <v>5.0350000000000001</v>
      </c>
      <c r="L135">
        <v>5.0010000000000003</v>
      </c>
      <c r="M135">
        <v>5.0229999999999997</v>
      </c>
      <c r="N135" s="14"/>
      <c r="O135" s="13"/>
    </row>
    <row r="136" spans="1:15" x14ac:dyDescent="0.25">
      <c r="A136" s="4">
        <v>134</v>
      </c>
      <c r="B136">
        <v>5.0090000000000003</v>
      </c>
      <c r="C136">
        <v>4.9850000000000003</v>
      </c>
      <c r="D136">
        <v>4.9850000000000003</v>
      </c>
      <c r="E136">
        <v>4.9939999999999998</v>
      </c>
      <c r="F136">
        <v>4.992</v>
      </c>
      <c r="G136">
        <v>5</v>
      </c>
      <c r="H136">
        <v>5.0330000000000004</v>
      </c>
      <c r="I136">
        <v>4.9960000000000004</v>
      </c>
      <c r="J136">
        <v>5.016</v>
      </c>
      <c r="K136">
        <v>4.9630000000000001</v>
      </c>
      <c r="L136">
        <v>4.9859999999999998</v>
      </c>
      <c r="M136">
        <v>4.99</v>
      </c>
      <c r="N136" s="14"/>
      <c r="O136" s="13"/>
    </row>
    <row r="137" spans="1:15" x14ac:dyDescent="0.25">
      <c r="A137" s="4">
        <v>135</v>
      </c>
      <c r="B137">
        <v>5.0039999999999996</v>
      </c>
      <c r="C137">
        <v>5.0389999999999997</v>
      </c>
      <c r="D137">
        <v>5.032</v>
      </c>
      <c r="E137">
        <v>5.0419999999999998</v>
      </c>
      <c r="F137">
        <v>5.0170000000000003</v>
      </c>
      <c r="G137">
        <v>5.0049999999999999</v>
      </c>
      <c r="H137">
        <v>5.0010000000000003</v>
      </c>
      <c r="I137">
        <v>4.9790000000000001</v>
      </c>
      <c r="J137">
        <v>5</v>
      </c>
      <c r="K137">
        <v>4.984</v>
      </c>
      <c r="L137">
        <v>4.9889999999999999</v>
      </c>
      <c r="M137">
        <v>4.9889999999999999</v>
      </c>
      <c r="N137" s="14"/>
      <c r="O137" s="13"/>
    </row>
    <row r="138" spans="1:15" x14ac:dyDescent="0.25">
      <c r="A138" s="4">
        <v>136</v>
      </c>
      <c r="B138">
        <v>5.0039999999999996</v>
      </c>
      <c r="C138">
        <v>5.0110000000000001</v>
      </c>
      <c r="D138">
        <v>5.008</v>
      </c>
      <c r="E138">
        <v>5</v>
      </c>
      <c r="F138">
        <v>4.9790000000000001</v>
      </c>
      <c r="G138">
        <v>5.0069999999999997</v>
      </c>
      <c r="H138">
        <v>4.9820000000000002</v>
      </c>
      <c r="I138">
        <v>4.992</v>
      </c>
      <c r="J138">
        <v>4.9950000000000001</v>
      </c>
      <c r="K138">
        <v>4.9909999999999997</v>
      </c>
      <c r="L138">
        <v>5.0289999999999999</v>
      </c>
      <c r="M138">
        <v>4.9889999999999999</v>
      </c>
      <c r="N138" s="14"/>
      <c r="O138" s="13"/>
    </row>
    <row r="139" spans="1:15" x14ac:dyDescent="0.25">
      <c r="A139" s="4">
        <v>137</v>
      </c>
      <c r="B139">
        <v>4.9829999999999997</v>
      </c>
      <c r="C139">
        <v>5.0039999999999996</v>
      </c>
      <c r="D139">
        <v>4.9829999999999997</v>
      </c>
      <c r="E139">
        <v>4.9820000000000002</v>
      </c>
      <c r="F139">
        <v>5.0140000000000002</v>
      </c>
      <c r="G139">
        <v>5.0259999999999998</v>
      </c>
      <c r="H139">
        <v>4.9710000000000001</v>
      </c>
      <c r="I139">
        <v>5.0110000000000001</v>
      </c>
      <c r="J139">
        <v>4.9720000000000004</v>
      </c>
      <c r="K139">
        <v>4.9870000000000001</v>
      </c>
      <c r="L139">
        <v>4.9770000000000003</v>
      </c>
      <c r="M139">
        <v>4.97</v>
      </c>
      <c r="N139" s="14"/>
      <c r="O139" s="13"/>
    </row>
    <row r="140" spans="1:15" x14ac:dyDescent="0.25">
      <c r="A140" s="4">
        <v>138</v>
      </c>
      <c r="B140">
        <v>4.9939999999999998</v>
      </c>
      <c r="C140">
        <v>4.9909999999999997</v>
      </c>
      <c r="D140">
        <v>4.9909999999999997</v>
      </c>
      <c r="E140">
        <v>4.9859999999999998</v>
      </c>
      <c r="F140">
        <v>5.0110000000000001</v>
      </c>
      <c r="G140">
        <v>4.9969999999999999</v>
      </c>
      <c r="H140">
        <v>5.0220000000000002</v>
      </c>
      <c r="I140">
        <v>4.9770000000000003</v>
      </c>
      <c r="J140">
        <v>5.03</v>
      </c>
      <c r="K140">
        <v>5.0259999999999998</v>
      </c>
      <c r="L140">
        <v>5.0069999999999997</v>
      </c>
      <c r="M140">
        <v>5.024</v>
      </c>
      <c r="N140" s="14"/>
      <c r="O140" s="13"/>
    </row>
    <row r="141" spans="1:15" x14ac:dyDescent="0.25">
      <c r="A141" s="4">
        <v>139</v>
      </c>
      <c r="B141">
        <v>5.008</v>
      </c>
      <c r="C141">
        <v>5.0060000000000002</v>
      </c>
      <c r="D141">
        <v>5.0069999999999997</v>
      </c>
      <c r="E141">
        <v>5.01</v>
      </c>
      <c r="F141">
        <v>4.9509999999999996</v>
      </c>
      <c r="G141">
        <v>4.9630000000000001</v>
      </c>
      <c r="H141">
        <v>5.0199999999999996</v>
      </c>
      <c r="I141">
        <v>4.9749999999999996</v>
      </c>
      <c r="J141">
        <v>4.9950000000000001</v>
      </c>
      <c r="K141">
        <v>5.0039999999999996</v>
      </c>
      <c r="L141">
        <v>4.9989999999999997</v>
      </c>
      <c r="M141">
        <v>5.03</v>
      </c>
      <c r="N141" s="14"/>
      <c r="O141" s="13"/>
    </row>
    <row r="142" spans="1:15" x14ac:dyDescent="0.25">
      <c r="A142" s="4">
        <v>140</v>
      </c>
      <c r="B142">
        <v>5.0010000000000003</v>
      </c>
      <c r="C142">
        <v>5.01</v>
      </c>
      <c r="D142">
        <v>4.9980000000000002</v>
      </c>
      <c r="E142">
        <v>5.0060000000000002</v>
      </c>
      <c r="F142">
        <v>4.9859999999999998</v>
      </c>
      <c r="G142">
        <v>4.976</v>
      </c>
      <c r="H142">
        <v>4.9850000000000003</v>
      </c>
      <c r="I142">
        <v>5.0579999999999998</v>
      </c>
      <c r="J142">
        <v>4.992</v>
      </c>
      <c r="K142">
        <v>5.0229999999999997</v>
      </c>
      <c r="L142">
        <v>5.0270000000000001</v>
      </c>
      <c r="M142">
        <v>4.9829999999999997</v>
      </c>
      <c r="N142" s="14"/>
      <c r="O142" s="13"/>
    </row>
    <row r="143" spans="1:15" x14ac:dyDescent="0.25">
      <c r="A143" s="4">
        <v>141</v>
      </c>
      <c r="B143">
        <v>5.0129999999999999</v>
      </c>
      <c r="C143">
        <v>4.9660000000000002</v>
      </c>
      <c r="D143">
        <v>5.01</v>
      </c>
      <c r="E143">
        <v>5.0119999999999996</v>
      </c>
      <c r="F143">
        <v>5.048</v>
      </c>
      <c r="G143">
        <v>5.0190000000000001</v>
      </c>
      <c r="H143"/>
      <c r="I143"/>
      <c r="J143"/>
      <c r="K143"/>
      <c r="L143"/>
      <c r="M143"/>
      <c r="N143" s="14"/>
      <c r="O143" s="13"/>
    </row>
    <row r="144" spans="1:15" x14ac:dyDescent="0.25">
      <c r="A144" s="4">
        <v>142</v>
      </c>
      <c r="B144">
        <v>4.9850000000000003</v>
      </c>
      <c r="C144">
        <v>5.0140000000000002</v>
      </c>
      <c r="D144">
        <v>5.0190000000000001</v>
      </c>
      <c r="E144">
        <v>4.968</v>
      </c>
      <c r="F144">
        <v>5.0540000000000003</v>
      </c>
      <c r="G144">
        <v>4.9980000000000002</v>
      </c>
      <c r="H144">
        <v>4.9889999999999999</v>
      </c>
      <c r="I144">
        <v>5.0380000000000003</v>
      </c>
      <c r="J144">
        <v>4.9560000000000004</v>
      </c>
      <c r="K144">
        <v>5.0010000000000003</v>
      </c>
      <c r="L144">
        <v>5.0019999999999998</v>
      </c>
      <c r="M144">
        <v>4.97</v>
      </c>
      <c r="N144" s="14"/>
      <c r="O144" s="13"/>
    </row>
    <row r="145" spans="1:15" x14ac:dyDescent="0.25">
      <c r="A145" s="4">
        <v>143</v>
      </c>
      <c r="B145">
        <v>4.9960000000000004</v>
      </c>
      <c r="C145">
        <v>5.0060000000000002</v>
      </c>
      <c r="D145">
        <v>4.9720000000000004</v>
      </c>
      <c r="E145">
        <v>4.9800000000000004</v>
      </c>
      <c r="F145">
        <v>4.9710000000000001</v>
      </c>
      <c r="G145">
        <v>5.0030000000000001</v>
      </c>
      <c r="H145"/>
      <c r="I145"/>
      <c r="J145"/>
      <c r="K145"/>
      <c r="L145"/>
      <c r="M145"/>
      <c r="N145" s="14"/>
      <c r="O145" s="13"/>
    </row>
    <row r="146" spans="1:15" x14ac:dyDescent="0.25">
      <c r="A146" s="4">
        <v>144</v>
      </c>
      <c r="B146">
        <v>4.9820000000000002</v>
      </c>
      <c r="C146">
        <v>4.9820000000000002</v>
      </c>
      <c r="D146">
        <v>4.9770000000000003</v>
      </c>
      <c r="E146">
        <v>4.9969999999999999</v>
      </c>
      <c r="F146">
        <v>4.9429999999999996</v>
      </c>
      <c r="G146">
        <v>4.9939999999999998</v>
      </c>
      <c r="H146">
        <v>4.9950000000000001</v>
      </c>
      <c r="I146">
        <v>5.0010000000000003</v>
      </c>
      <c r="J146">
        <v>5.0170000000000003</v>
      </c>
      <c r="K146">
        <v>4.9779999999999998</v>
      </c>
      <c r="L146">
        <v>4.9820000000000002</v>
      </c>
      <c r="M146">
        <v>5.016</v>
      </c>
      <c r="N146" s="14"/>
      <c r="O146" s="13"/>
    </row>
    <row r="147" spans="1:15" ht="16.2" x14ac:dyDescent="0.25">
      <c r="A147" s="21" t="s">
        <v>38</v>
      </c>
      <c r="B147" s="22">
        <f t="shared" ref="B147:M147" si="0">COUNTA(B3:B146)</f>
        <v>136</v>
      </c>
      <c r="C147" s="22">
        <f t="shared" si="0"/>
        <v>136</v>
      </c>
      <c r="D147" s="22">
        <f t="shared" si="0"/>
        <v>136</v>
      </c>
      <c r="E147" s="22">
        <f t="shared" si="0"/>
        <v>136</v>
      </c>
      <c r="F147" s="22">
        <f t="shared" si="0"/>
        <v>136</v>
      </c>
      <c r="G147" s="22">
        <f t="shared" si="0"/>
        <v>136</v>
      </c>
      <c r="H147" s="22">
        <f t="shared" si="0"/>
        <v>135</v>
      </c>
      <c r="I147" s="22">
        <f t="shared" si="0"/>
        <v>135</v>
      </c>
      <c r="J147" s="22">
        <f t="shared" si="0"/>
        <v>135</v>
      </c>
      <c r="K147" s="22">
        <f t="shared" si="0"/>
        <v>135</v>
      </c>
      <c r="L147" s="22">
        <f t="shared" si="0"/>
        <v>135</v>
      </c>
      <c r="M147" s="22">
        <f t="shared" si="0"/>
        <v>135</v>
      </c>
      <c r="N147" s="23">
        <f>SUM(B147:M147)</f>
        <v>1626</v>
      </c>
      <c r="O147" s="13"/>
    </row>
    <row r="148" spans="1:15" ht="16.2" x14ac:dyDescent="0.4">
      <c r="A148" s="24" t="s">
        <v>41</v>
      </c>
      <c r="B148" s="22">
        <f t="shared" ref="B148:M148" si="1">COUNTIF(B3:B146,"&gt;=4.9")-COUNTIF(B3:B146,"&gt;=5.1")</f>
        <v>136</v>
      </c>
      <c r="C148" s="22">
        <f t="shared" si="1"/>
        <v>136</v>
      </c>
      <c r="D148" s="22">
        <f t="shared" si="1"/>
        <v>136</v>
      </c>
      <c r="E148" s="22">
        <f t="shared" si="1"/>
        <v>136</v>
      </c>
      <c r="F148" s="22">
        <f t="shared" si="1"/>
        <v>136</v>
      </c>
      <c r="G148" s="22">
        <f t="shared" si="1"/>
        <v>136</v>
      </c>
      <c r="H148" s="22">
        <f t="shared" si="1"/>
        <v>135</v>
      </c>
      <c r="I148" s="22">
        <f t="shared" si="1"/>
        <v>135</v>
      </c>
      <c r="J148" s="22">
        <f t="shared" si="1"/>
        <v>135</v>
      </c>
      <c r="K148" s="22">
        <f t="shared" si="1"/>
        <v>134</v>
      </c>
      <c r="L148" s="22">
        <f t="shared" si="1"/>
        <v>135</v>
      </c>
      <c r="M148" s="22">
        <f t="shared" si="1"/>
        <v>135</v>
      </c>
      <c r="N148" s="20">
        <f>SUM(B148:M148)</f>
        <v>1625</v>
      </c>
      <c r="O148" s="13"/>
    </row>
    <row r="149" spans="1:15" ht="16.2" x14ac:dyDescent="0.4">
      <c r="A149" s="24" t="s">
        <v>42</v>
      </c>
      <c r="B149" s="22">
        <f t="shared" ref="B149:M149" si="2">COUNTIF(B3:B146,"&gt;=4.85")-COUNTIF(B3:B146,"&gt;=5.15")</f>
        <v>136</v>
      </c>
      <c r="C149" s="22">
        <f t="shared" si="2"/>
        <v>136</v>
      </c>
      <c r="D149" s="22">
        <f t="shared" si="2"/>
        <v>136</v>
      </c>
      <c r="E149" s="22">
        <f t="shared" si="2"/>
        <v>136</v>
      </c>
      <c r="F149" s="22">
        <f t="shared" si="2"/>
        <v>136</v>
      </c>
      <c r="G149" s="22">
        <f t="shared" si="2"/>
        <v>136</v>
      </c>
      <c r="H149" s="22">
        <f t="shared" si="2"/>
        <v>135</v>
      </c>
      <c r="I149" s="22">
        <f t="shared" si="2"/>
        <v>135</v>
      </c>
      <c r="J149" s="22">
        <f t="shared" si="2"/>
        <v>135</v>
      </c>
      <c r="K149" s="22">
        <f t="shared" si="2"/>
        <v>135</v>
      </c>
      <c r="L149" s="22">
        <f t="shared" si="2"/>
        <v>135</v>
      </c>
      <c r="M149" s="22">
        <f t="shared" si="2"/>
        <v>135</v>
      </c>
      <c r="N149" s="20">
        <f>SUM(B149:M149)</f>
        <v>1626</v>
      </c>
      <c r="O149" s="13"/>
    </row>
    <row r="150" spans="1:15" ht="16.2" x14ac:dyDescent="0.4">
      <c r="A150" s="24" t="s">
        <v>43</v>
      </c>
      <c r="B150" s="22">
        <f t="shared" ref="B150:M150" si="3">COUNTIF(B3:B146,"&gt;=4.75")-COUNTIF(B76:B146,"&gt;=5.25")</f>
        <v>136</v>
      </c>
      <c r="C150" s="22">
        <f t="shared" si="3"/>
        <v>136</v>
      </c>
      <c r="D150" s="22">
        <f t="shared" si="3"/>
        <v>136</v>
      </c>
      <c r="E150" s="22">
        <f t="shared" si="3"/>
        <v>136</v>
      </c>
      <c r="F150" s="22">
        <f t="shared" si="3"/>
        <v>136</v>
      </c>
      <c r="G150" s="22">
        <f t="shared" si="3"/>
        <v>136</v>
      </c>
      <c r="H150" s="22">
        <f t="shared" si="3"/>
        <v>135</v>
      </c>
      <c r="I150" s="22">
        <f t="shared" si="3"/>
        <v>135</v>
      </c>
      <c r="J150" s="22">
        <f t="shared" si="3"/>
        <v>135</v>
      </c>
      <c r="K150" s="22">
        <f t="shared" si="3"/>
        <v>135</v>
      </c>
      <c r="L150" s="22">
        <f t="shared" si="3"/>
        <v>135</v>
      </c>
      <c r="M150" s="22">
        <f t="shared" si="3"/>
        <v>135</v>
      </c>
      <c r="N150" s="20">
        <f>SUM(B150:M150)</f>
        <v>1626</v>
      </c>
      <c r="O150" s="13"/>
    </row>
    <row r="151" spans="1:15" x14ac:dyDescent="0.25">
      <c r="A151" s="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4"/>
      <c r="O151" s="13"/>
    </row>
    <row r="152" spans="1:15" x14ac:dyDescent="0.25">
      <c r="A152" s="6"/>
      <c r="B152" s="7"/>
      <c r="C152" s="7"/>
      <c r="D152" s="7"/>
      <c r="E152" s="7"/>
      <c r="F152" s="7"/>
      <c r="N152" s="14"/>
      <c r="O152" s="13"/>
    </row>
    <row r="153" spans="1:15" x14ac:dyDescent="0.25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14"/>
      <c r="O153" s="13"/>
    </row>
    <row r="154" spans="1:15" ht="14.4" x14ac:dyDescent="0.25">
      <c r="A154" s="32" t="s">
        <v>0</v>
      </c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14"/>
      <c r="O154" s="13"/>
    </row>
    <row r="155" spans="1:15" ht="47.25" customHeight="1" x14ac:dyDescent="0.25">
      <c r="A155" s="2" t="s">
        <v>2</v>
      </c>
      <c r="B155" s="3" t="s">
        <v>18</v>
      </c>
      <c r="C155" s="3" t="s">
        <v>15</v>
      </c>
      <c r="D155" s="3" t="s">
        <v>19</v>
      </c>
      <c r="E155" s="3" t="s">
        <v>20</v>
      </c>
      <c r="F155" s="3" t="s">
        <v>16</v>
      </c>
      <c r="G155" s="3" t="s">
        <v>21</v>
      </c>
      <c r="H155" s="3" t="s">
        <v>22</v>
      </c>
      <c r="I155" s="3" t="s">
        <v>23</v>
      </c>
      <c r="J155" s="3" t="s">
        <v>24</v>
      </c>
      <c r="K155" s="3" t="s">
        <v>25</v>
      </c>
      <c r="L155" s="3" t="s">
        <v>26</v>
      </c>
      <c r="M155" s="3" t="s">
        <v>27</v>
      </c>
      <c r="N155" s="14"/>
      <c r="O155" s="13"/>
    </row>
    <row r="156" spans="1:15" ht="17.25" customHeight="1" x14ac:dyDescent="0.25">
      <c r="A156" s="4" t="s">
        <v>28</v>
      </c>
      <c r="B156" s="10">
        <f t="shared" ref="B156:M156" si="4">AVERAGE(B3:B146)</f>
        <v>4.999139705882353</v>
      </c>
      <c r="C156" s="10">
        <f t="shared" si="4"/>
        <v>4.9999779411764713</v>
      </c>
      <c r="D156" s="10">
        <f t="shared" si="4"/>
        <v>4.997051470588235</v>
      </c>
      <c r="E156" s="10">
        <f t="shared" si="4"/>
        <v>4.9987426470588261</v>
      </c>
      <c r="F156" s="10">
        <f t="shared" si="4"/>
        <v>4.9983823529411735</v>
      </c>
      <c r="G156" s="10">
        <f t="shared" si="4"/>
        <v>4.99677205882353</v>
      </c>
      <c r="H156" s="10">
        <f t="shared" si="4"/>
        <v>4.9978148148148147</v>
      </c>
      <c r="I156" s="10">
        <f t="shared" si="4"/>
        <v>4.9991629629629619</v>
      </c>
      <c r="J156" s="10">
        <f t="shared" si="4"/>
        <v>4.9998666666666658</v>
      </c>
      <c r="K156" s="10">
        <f t="shared" si="4"/>
        <v>4.9981407407407392</v>
      </c>
      <c r="L156" s="10">
        <f t="shared" si="4"/>
        <v>4.996733333333335</v>
      </c>
      <c r="M156" s="10">
        <f t="shared" si="4"/>
        <v>4.9976074074074095</v>
      </c>
      <c r="N156" s="14"/>
      <c r="O156" s="13"/>
    </row>
    <row r="157" spans="1:15" ht="18.75" customHeight="1" x14ac:dyDescent="0.25">
      <c r="A157" s="4" t="s">
        <v>29</v>
      </c>
      <c r="B157" s="19">
        <f t="shared" ref="B157:M157" si="5">MIN(B3:B146)</f>
        <v>4.9269999999999996</v>
      </c>
      <c r="C157" s="19">
        <f t="shared" si="5"/>
        <v>4.95</v>
      </c>
      <c r="D157" s="19">
        <f t="shared" si="5"/>
        <v>4.9160000000000004</v>
      </c>
      <c r="E157" s="19">
        <f t="shared" si="5"/>
        <v>4.9489999999999998</v>
      </c>
      <c r="F157" s="19">
        <f t="shared" si="5"/>
        <v>4.9169999999999998</v>
      </c>
      <c r="G157" s="19">
        <f t="shared" si="5"/>
        <v>4.9420000000000002</v>
      </c>
      <c r="H157" s="19">
        <f t="shared" si="5"/>
        <v>4.9379999999999997</v>
      </c>
      <c r="I157" s="19">
        <f t="shared" si="5"/>
        <v>4.9000000000000004</v>
      </c>
      <c r="J157" s="19">
        <f t="shared" si="5"/>
        <v>4.9400000000000004</v>
      </c>
      <c r="K157" s="19">
        <f t="shared" si="5"/>
        <v>4.8869999999999996</v>
      </c>
      <c r="L157" s="19">
        <f t="shared" si="5"/>
        <v>4.9249999999999998</v>
      </c>
      <c r="M157" s="19">
        <f t="shared" si="5"/>
        <v>4.93</v>
      </c>
      <c r="N157" s="14"/>
      <c r="O157" s="13"/>
    </row>
    <row r="158" spans="1:15" ht="15.75" customHeight="1" x14ac:dyDescent="0.25">
      <c r="A158" s="4" t="s">
        <v>30</v>
      </c>
      <c r="B158" s="10">
        <f t="shared" ref="B158:M158" si="6">MAX(B3:B146)</f>
        <v>5.0759999999999996</v>
      </c>
      <c r="C158" s="10">
        <f t="shared" si="6"/>
        <v>5.0759999999999996</v>
      </c>
      <c r="D158" s="10">
        <f t="shared" si="6"/>
        <v>5.0629999999999997</v>
      </c>
      <c r="E158" s="10">
        <f t="shared" si="6"/>
        <v>5.0430000000000001</v>
      </c>
      <c r="F158" s="10">
        <f t="shared" si="6"/>
        <v>5.0570000000000004</v>
      </c>
      <c r="G158" s="10">
        <f t="shared" si="6"/>
        <v>5.0519999999999996</v>
      </c>
      <c r="H158" s="10">
        <f t="shared" si="6"/>
        <v>5.048</v>
      </c>
      <c r="I158" s="10">
        <f t="shared" si="6"/>
        <v>5.0810000000000004</v>
      </c>
      <c r="J158" s="10">
        <f t="shared" si="6"/>
        <v>5.0810000000000004</v>
      </c>
      <c r="K158" s="10">
        <f t="shared" si="6"/>
        <v>5.085</v>
      </c>
      <c r="L158" s="10">
        <f t="shared" si="6"/>
        <v>5.0510000000000002</v>
      </c>
      <c r="M158" s="10">
        <f t="shared" si="6"/>
        <v>5.0439999999999996</v>
      </c>
      <c r="N158" s="14"/>
      <c r="O158" s="13"/>
    </row>
    <row r="159" spans="1:15" ht="17.25" customHeight="1" x14ac:dyDescent="0.25">
      <c r="A159" s="4" t="s">
        <v>1</v>
      </c>
      <c r="B159" s="10">
        <f t="shared" ref="B159:M159" si="7">_xlfn.STDEV.P(B3:B146)</f>
        <v>1.9271349045438976E-2</v>
      </c>
      <c r="C159" s="10">
        <f t="shared" si="7"/>
        <v>2.0941608916139623E-2</v>
      </c>
      <c r="D159" s="10">
        <f t="shared" si="7"/>
        <v>2.4396335263886577E-2</v>
      </c>
      <c r="E159" s="10">
        <f t="shared" si="7"/>
        <v>1.8724000139616837E-2</v>
      </c>
      <c r="F159" s="10">
        <f t="shared" si="7"/>
        <v>2.8722316293906321E-2</v>
      </c>
      <c r="G159" s="10">
        <f t="shared" si="7"/>
        <v>2.1005239861605903E-2</v>
      </c>
      <c r="H159" s="10">
        <f t="shared" si="7"/>
        <v>2.1195452057662496E-2</v>
      </c>
      <c r="I159" s="10">
        <f t="shared" si="7"/>
        <v>2.1367405918016644E-2</v>
      </c>
      <c r="J159" s="10">
        <f t="shared" si="7"/>
        <v>2.0546532554180496E-2</v>
      </c>
      <c r="K159" s="10">
        <f t="shared" si="7"/>
        <v>2.6099854679022989E-2</v>
      </c>
      <c r="L159" s="10">
        <f t="shared" si="7"/>
        <v>2.433963388750492E-2</v>
      </c>
      <c r="M159" s="10">
        <f t="shared" si="7"/>
        <v>2.146248968896277E-2</v>
      </c>
      <c r="N159" s="14"/>
      <c r="O159" s="13"/>
    </row>
    <row r="160" spans="1:15" ht="16.5" customHeight="1" x14ac:dyDescent="0.25">
      <c r="A160" s="4" t="s">
        <v>33</v>
      </c>
      <c r="B160" s="10">
        <f>3*B159</f>
        <v>5.7814047136316923E-2</v>
      </c>
      <c r="C160" s="10">
        <f t="shared" ref="C160:M160" si="8">3*C159</f>
        <v>6.2824826748418869E-2</v>
      </c>
      <c r="D160" s="10">
        <f t="shared" si="8"/>
        <v>7.3189005791659739E-2</v>
      </c>
      <c r="E160" s="10">
        <f t="shared" si="8"/>
        <v>5.617200041885051E-2</v>
      </c>
      <c r="F160" s="10">
        <f t="shared" si="8"/>
        <v>8.6166948881718969E-2</v>
      </c>
      <c r="G160" s="10">
        <f t="shared" si="8"/>
        <v>6.3015719584817706E-2</v>
      </c>
      <c r="H160" s="10">
        <f t="shared" si="8"/>
        <v>6.3586356172987496E-2</v>
      </c>
      <c r="I160" s="10">
        <f t="shared" si="8"/>
        <v>6.4102217754049937E-2</v>
      </c>
      <c r="J160" s="10">
        <f t="shared" si="8"/>
        <v>6.1639597662541484E-2</v>
      </c>
      <c r="K160" s="10">
        <f t="shared" si="8"/>
        <v>7.8299564037068975E-2</v>
      </c>
      <c r="L160" s="10">
        <f t="shared" si="8"/>
        <v>7.3018901662514762E-2</v>
      </c>
      <c r="M160" s="10">
        <f t="shared" si="8"/>
        <v>6.4387469066888303E-2</v>
      </c>
      <c r="N160" s="14"/>
      <c r="O160" s="13"/>
    </row>
    <row r="161" spans="1:15" ht="15.75" customHeight="1" x14ac:dyDescent="0.25">
      <c r="A161" s="4" t="s">
        <v>34</v>
      </c>
      <c r="B161" s="11">
        <f>(5*1.03-B156)/B160</f>
        <v>2.6094055266869867</v>
      </c>
      <c r="C161" s="11">
        <f t="shared" ref="C161:M161" si="9">(5*1.03-C156)/C160</f>
        <v>2.3879422608563687</v>
      </c>
      <c r="D161" s="11">
        <f t="shared" si="9"/>
        <v>2.0897746561437054</v>
      </c>
      <c r="E161" s="11">
        <f t="shared" si="9"/>
        <v>2.6927535393668212</v>
      </c>
      <c r="F161" s="11">
        <f t="shared" si="9"/>
        <v>1.7595800829265964</v>
      </c>
      <c r="G161" s="11">
        <f t="shared" si="9"/>
        <v>2.4315828206996675</v>
      </c>
      <c r="H161" s="11">
        <f t="shared" si="9"/>
        <v>2.3933622610983383</v>
      </c>
      <c r="I161" s="11">
        <f t="shared" si="9"/>
        <v>2.3530704915043077</v>
      </c>
      <c r="J161" s="11">
        <f t="shared" si="9"/>
        <v>2.4356637458159613</v>
      </c>
      <c r="K161" s="11">
        <f t="shared" si="9"/>
        <v>1.9394649398988628</v>
      </c>
      <c r="L161" s="11">
        <f t="shared" si="9"/>
        <v>2.0989998914944903</v>
      </c>
      <c r="M161" s="11">
        <f t="shared" si="9"/>
        <v>2.3668051377245356</v>
      </c>
      <c r="N161" s="14"/>
      <c r="O161" s="13"/>
    </row>
    <row r="162" spans="1:15" x14ac:dyDescent="0.25">
      <c r="A162" s="4" t="s">
        <v>35</v>
      </c>
      <c r="B162" s="11">
        <f>(B156-5*0.97)/B160</f>
        <v>2.5796447968900038</v>
      </c>
      <c r="C162" s="11">
        <f t="shared" ref="C162:M162" si="10">(C156-5*0.97)/C160</f>
        <v>2.38724002816683</v>
      </c>
      <c r="D162" s="11">
        <f t="shared" si="10"/>
        <v>2.0092016416623135</v>
      </c>
      <c r="E162" s="11">
        <f t="shared" si="10"/>
        <v>2.6479855791090996</v>
      </c>
      <c r="F162" s="11">
        <f t="shared" si="10"/>
        <v>1.7220332722336231</v>
      </c>
      <c r="G162" s="11">
        <f t="shared" si="10"/>
        <v>2.3291340603669308</v>
      </c>
      <c r="H162" s="11">
        <f t="shared" si="10"/>
        <v>2.3246310012274169</v>
      </c>
      <c r="I162" s="11">
        <f t="shared" si="10"/>
        <v>2.326954794844649</v>
      </c>
      <c r="J162" s="11">
        <f t="shared" si="10"/>
        <v>2.4313375224663485</v>
      </c>
      <c r="K162" s="11">
        <f t="shared" si="10"/>
        <v>1.8919740175131248</v>
      </c>
      <c r="L162" s="11">
        <f t="shared" si="10"/>
        <v>2.009525341965845</v>
      </c>
      <c r="M162" s="11">
        <f t="shared" si="10"/>
        <v>2.2924865590549821</v>
      </c>
      <c r="N162" s="14"/>
      <c r="O162" s="13"/>
    </row>
    <row r="163" spans="1:15" ht="16.2" x14ac:dyDescent="0.25">
      <c r="A163" s="4" t="s">
        <v>36</v>
      </c>
      <c r="B163" s="10">
        <f>MIN(B161,B162)</f>
        <v>2.5796447968900038</v>
      </c>
      <c r="C163" s="10">
        <f t="shared" ref="C163:M163" si="11">MIN(C161,C162)</f>
        <v>2.38724002816683</v>
      </c>
      <c r="D163" s="10">
        <f t="shared" si="11"/>
        <v>2.0092016416623135</v>
      </c>
      <c r="E163" s="10">
        <f t="shared" si="11"/>
        <v>2.6479855791090996</v>
      </c>
      <c r="F163" s="10">
        <f t="shared" si="11"/>
        <v>1.7220332722336231</v>
      </c>
      <c r="G163" s="10">
        <f t="shared" si="11"/>
        <v>2.3291340603669308</v>
      </c>
      <c r="H163" s="10">
        <f t="shared" si="11"/>
        <v>2.3246310012274169</v>
      </c>
      <c r="I163" s="10">
        <f t="shared" si="11"/>
        <v>2.326954794844649</v>
      </c>
      <c r="J163" s="10">
        <f t="shared" si="11"/>
        <v>2.4313375224663485</v>
      </c>
      <c r="K163" s="10">
        <f t="shared" si="11"/>
        <v>1.8919740175131248</v>
      </c>
      <c r="L163" s="10">
        <f t="shared" si="11"/>
        <v>2.009525341965845</v>
      </c>
      <c r="M163" s="10">
        <f t="shared" si="11"/>
        <v>2.2924865590549821</v>
      </c>
      <c r="N163" s="14"/>
      <c r="O163" s="13"/>
    </row>
    <row r="164" spans="1:15" x14ac:dyDescent="0.25">
      <c r="N164" s="14"/>
      <c r="O164" s="13"/>
    </row>
    <row r="165" spans="1:15" ht="14.4" x14ac:dyDescent="0.25">
      <c r="B165" s="9" t="s">
        <v>31</v>
      </c>
      <c r="H165" s="9" t="s">
        <v>32</v>
      </c>
      <c r="N165" s="14"/>
      <c r="O165" s="13"/>
    </row>
    <row r="166" spans="1:15" ht="14.4" x14ac:dyDescent="0.25">
      <c r="H166" s="9"/>
      <c r="N166" s="14"/>
      <c r="O166" s="13"/>
    </row>
    <row r="167" spans="1:15" x14ac:dyDescent="0.25">
      <c r="N167" s="14"/>
      <c r="O167" s="13"/>
    </row>
    <row r="168" spans="1:15" x14ac:dyDescent="0.25">
      <c r="N168" s="14"/>
      <c r="O168" s="13"/>
    </row>
    <row r="169" spans="1:15" x14ac:dyDescent="0.25">
      <c r="N169" s="14"/>
      <c r="O169" s="13"/>
    </row>
    <row r="170" spans="1:15" x14ac:dyDescent="0.25">
      <c r="N170" s="14"/>
      <c r="O170" s="13"/>
    </row>
    <row r="171" spans="1:15" x14ac:dyDescent="0.25">
      <c r="N171" s="14"/>
      <c r="O171" s="13"/>
    </row>
    <row r="172" spans="1:15" x14ac:dyDescent="0.25">
      <c r="N172" s="14"/>
      <c r="O172" s="13"/>
    </row>
  </sheetData>
  <autoFilter ref="A2:M2" xr:uid="{00000000-0009-0000-0000-000000000000}">
    <sortState ref="A3:M146">
      <sortCondition ref="A2"/>
    </sortState>
  </autoFilter>
  <mergeCells count="2">
    <mergeCell ref="A1:M1"/>
    <mergeCell ref="A154:M154"/>
  </mergeCells>
  <phoneticPr fontId="1" type="noConversion"/>
  <pageMargins left="0.25" right="0.25" top="0.75" bottom="0.75" header="0.3" footer="0.3"/>
  <pageSetup paperSize="9" fitToHeight="0" orientation="landscape" r:id="rId1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A195-32DF-4B14-BAB1-522F1642F5A6}">
  <dimension ref="A1:P146"/>
  <sheetViews>
    <sheetView workbookViewId="0">
      <selection sqref="A1:O1"/>
    </sheetView>
  </sheetViews>
  <sheetFormatPr defaultRowHeight="13.8" x14ac:dyDescent="0.25"/>
  <cols>
    <col min="1" max="1" width="10.109375" bestFit="1" customWidth="1"/>
    <col min="15" max="15" width="11" bestFit="1" customWidth="1"/>
    <col min="16" max="16" width="12.21875" bestFit="1" customWidth="1"/>
  </cols>
  <sheetData>
    <row r="1" spans="1:16" x14ac:dyDescent="0.25">
      <c r="A1" t="s">
        <v>49</v>
      </c>
      <c r="B1" t="s">
        <v>48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 t="s">
        <v>45</v>
      </c>
    </row>
    <row r="2" spans="1:16" x14ac:dyDescent="0.25">
      <c r="A2" s="27">
        <v>45564</v>
      </c>
      <c r="B2" s="28">
        <v>0.56039351851851849</v>
      </c>
      <c r="C2" s="29">
        <v>3.302</v>
      </c>
      <c r="D2" s="29">
        <v>3.28</v>
      </c>
      <c r="E2" s="29">
        <v>2.84</v>
      </c>
      <c r="F2" s="29">
        <v>3.274</v>
      </c>
      <c r="G2" s="29">
        <v>2.8250000000000002</v>
      </c>
      <c r="H2" s="29">
        <v>2.7719999999999998</v>
      </c>
      <c r="I2" s="29">
        <v>2.891</v>
      </c>
      <c r="J2">
        <v>2.9460000000000002</v>
      </c>
      <c r="K2">
        <v>3.0430000000000001</v>
      </c>
      <c r="L2" s="29">
        <v>2.8690000000000002</v>
      </c>
      <c r="M2" s="29">
        <v>2.8490000000000002</v>
      </c>
      <c r="N2" s="29">
        <v>2.8879999999999999</v>
      </c>
      <c r="O2" t="s">
        <v>46</v>
      </c>
      <c r="P2" t="s">
        <v>47</v>
      </c>
    </row>
    <row r="3" spans="1:16" x14ac:dyDescent="0.25">
      <c r="A3" s="27">
        <v>45564</v>
      </c>
      <c r="B3" s="28">
        <v>0.56168981481481484</v>
      </c>
      <c r="C3">
        <v>3.0150000000000001</v>
      </c>
      <c r="D3">
        <v>3.0350000000000001</v>
      </c>
      <c r="E3">
        <v>3.0249999999999999</v>
      </c>
      <c r="F3">
        <v>3.0329999999999999</v>
      </c>
      <c r="G3">
        <v>3.0249999999999999</v>
      </c>
      <c r="H3">
        <v>3.0489999999999999</v>
      </c>
      <c r="I3">
        <v>3.0249999999999999</v>
      </c>
      <c r="J3">
        <v>3.0129999999999999</v>
      </c>
      <c r="K3">
        <v>3.0609999999999999</v>
      </c>
      <c r="L3">
        <v>3.03</v>
      </c>
      <c r="M3">
        <v>3.0470000000000002</v>
      </c>
      <c r="N3">
        <v>2.9969999999999999</v>
      </c>
      <c r="O3" t="s">
        <v>46</v>
      </c>
      <c r="P3" t="s">
        <v>47</v>
      </c>
    </row>
    <row r="4" spans="1:16" x14ac:dyDescent="0.25">
      <c r="A4" s="27">
        <v>45564</v>
      </c>
      <c r="B4" s="28">
        <v>0.56290509259259258</v>
      </c>
      <c r="C4">
        <v>3.0209999999999999</v>
      </c>
      <c r="D4">
        <v>2.9910000000000001</v>
      </c>
      <c r="E4">
        <v>3</v>
      </c>
      <c r="F4">
        <v>3.0070000000000001</v>
      </c>
      <c r="G4">
        <v>3.0190000000000001</v>
      </c>
      <c r="H4">
        <v>3.0259999999999998</v>
      </c>
      <c r="I4">
        <v>3.012</v>
      </c>
      <c r="J4">
        <v>3.0019999999999998</v>
      </c>
      <c r="K4">
        <v>2.97</v>
      </c>
      <c r="L4">
        <v>2.9929999999999999</v>
      </c>
      <c r="M4">
        <v>3.028</v>
      </c>
      <c r="N4">
        <v>2.9929999999999999</v>
      </c>
      <c r="O4" t="s">
        <v>46</v>
      </c>
      <c r="P4" t="s">
        <v>47</v>
      </c>
    </row>
    <row r="5" spans="1:16" x14ac:dyDescent="0.25">
      <c r="A5" s="27">
        <v>45564</v>
      </c>
      <c r="B5" s="28">
        <v>0.56412037037037044</v>
      </c>
      <c r="C5">
        <v>3.008</v>
      </c>
      <c r="D5">
        <v>2.98</v>
      </c>
      <c r="E5">
        <v>3.0169999999999999</v>
      </c>
      <c r="F5">
        <v>3.0110000000000001</v>
      </c>
      <c r="G5">
        <v>2.9980000000000002</v>
      </c>
      <c r="H5">
        <v>3.0019999999999998</v>
      </c>
      <c r="I5">
        <v>3.0259999999999998</v>
      </c>
      <c r="J5">
        <v>3.01</v>
      </c>
      <c r="K5">
        <v>2.9609999999999999</v>
      </c>
      <c r="L5">
        <v>3.0110000000000001</v>
      </c>
      <c r="M5">
        <v>3.032</v>
      </c>
      <c r="N5">
        <v>3.0110000000000001</v>
      </c>
      <c r="O5" t="s">
        <v>46</v>
      </c>
      <c r="P5" t="s">
        <v>47</v>
      </c>
    </row>
    <row r="6" spans="1:16" x14ac:dyDescent="0.25">
      <c r="A6" s="27">
        <v>45564</v>
      </c>
      <c r="B6" s="28">
        <v>0.56533564814814818</v>
      </c>
      <c r="C6">
        <v>3.0169999999999999</v>
      </c>
      <c r="D6">
        <v>2.9809999999999999</v>
      </c>
      <c r="E6">
        <v>2.9870000000000001</v>
      </c>
      <c r="F6">
        <v>3.0219999999999998</v>
      </c>
      <c r="G6">
        <v>3.0139999999999998</v>
      </c>
      <c r="H6">
        <v>3.008</v>
      </c>
      <c r="I6">
        <v>3.004</v>
      </c>
      <c r="J6">
        <v>2.9950000000000001</v>
      </c>
      <c r="K6">
        <v>2.9980000000000002</v>
      </c>
      <c r="L6">
        <v>3.008</v>
      </c>
      <c r="M6">
        <v>3.008</v>
      </c>
      <c r="N6">
        <v>2.988</v>
      </c>
      <c r="O6" t="s">
        <v>46</v>
      </c>
      <c r="P6" t="s">
        <v>47</v>
      </c>
    </row>
    <row r="7" spans="1:16" x14ac:dyDescent="0.25">
      <c r="A7" s="27">
        <v>45564</v>
      </c>
      <c r="B7" s="28">
        <v>0.56653935185185189</v>
      </c>
      <c r="C7">
        <v>2.992</v>
      </c>
      <c r="D7">
        <v>3.02</v>
      </c>
      <c r="E7">
        <v>2.9929999999999999</v>
      </c>
      <c r="F7">
        <v>2.9990000000000001</v>
      </c>
      <c r="G7">
        <v>2.9889999999999999</v>
      </c>
      <c r="H7">
        <v>3.0150000000000001</v>
      </c>
      <c r="I7">
        <v>3.0089999999999999</v>
      </c>
      <c r="J7">
        <v>3.0259999999999998</v>
      </c>
      <c r="K7">
        <v>3.0009999999999999</v>
      </c>
      <c r="L7">
        <v>3.02</v>
      </c>
      <c r="M7">
        <v>3.0129999999999999</v>
      </c>
      <c r="N7">
        <v>3.0179999999999998</v>
      </c>
      <c r="O7" t="s">
        <v>46</v>
      </c>
      <c r="P7" t="s">
        <v>47</v>
      </c>
    </row>
    <row r="8" spans="1:16" x14ac:dyDescent="0.25">
      <c r="A8" s="27">
        <v>45564</v>
      </c>
      <c r="B8" s="28">
        <v>0.58697916666666672</v>
      </c>
      <c r="I8">
        <v>2.9790000000000001</v>
      </c>
      <c r="J8">
        <v>2.9910000000000001</v>
      </c>
      <c r="K8">
        <v>2.9750000000000001</v>
      </c>
      <c r="L8">
        <v>2.9830000000000001</v>
      </c>
      <c r="M8">
        <v>3.0049999999999999</v>
      </c>
      <c r="N8">
        <v>2.9849999999999999</v>
      </c>
      <c r="O8" t="s">
        <v>46</v>
      </c>
    </row>
    <row r="9" spans="1:16" x14ac:dyDescent="0.25">
      <c r="A9" s="27">
        <v>45564</v>
      </c>
      <c r="B9" s="28">
        <v>0.58759259259259256</v>
      </c>
      <c r="C9">
        <v>2.9569999999999999</v>
      </c>
      <c r="D9">
        <v>3.0059999999999998</v>
      </c>
      <c r="E9">
        <v>2.9710000000000001</v>
      </c>
      <c r="F9">
        <v>2.9689999999999999</v>
      </c>
      <c r="G9">
        <v>3.008</v>
      </c>
      <c r="H9">
        <v>3.0030000000000001</v>
      </c>
      <c r="I9">
        <v>2.9830000000000001</v>
      </c>
      <c r="J9">
        <v>3.0019999999999998</v>
      </c>
      <c r="K9">
        <v>3.01</v>
      </c>
      <c r="L9">
        <v>2.9950000000000001</v>
      </c>
      <c r="M9">
        <v>3.0049999999999999</v>
      </c>
      <c r="N9">
        <v>3.008</v>
      </c>
      <c r="O9" t="s">
        <v>46</v>
      </c>
      <c r="P9" t="s">
        <v>47</v>
      </c>
    </row>
    <row r="10" spans="1:16" x14ac:dyDescent="0.25">
      <c r="A10" s="27">
        <v>45564</v>
      </c>
      <c r="B10" s="28">
        <v>0.58887731481481487</v>
      </c>
      <c r="C10">
        <v>2.9689999999999999</v>
      </c>
      <c r="D10">
        <v>3.0169999999999999</v>
      </c>
      <c r="E10">
        <v>2.9769999999999999</v>
      </c>
      <c r="F10">
        <v>2.9990000000000001</v>
      </c>
      <c r="G10">
        <v>2.968</v>
      </c>
      <c r="H10">
        <v>3.0150000000000001</v>
      </c>
      <c r="I10">
        <v>2.984</v>
      </c>
      <c r="J10">
        <v>2.9750000000000001</v>
      </c>
      <c r="K10">
        <v>2.976</v>
      </c>
      <c r="L10">
        <v>2.98</v>
      </c>
      <c r="M10">
        <v>2.968</v>
      </c>
      <c r="N10">
        <v>2.9529999999999998</v>
      </c>
      <c r="O10" t="s">
        <v>46</v>
      </c>
      <c r="P10" t="s">
        <v>47</v>
      </c>
    </row>
    <row r="11" spans="1:16" x14ac:dyDescent="0.25">
      <c r="A11" s="27">
        <v>45564</v>
      </c>
      <c r="B11" s="28">
        <v>0.59017361111111111</v>
      </c>
      <c r="C11">
        <v>3.0049999999999999</v>
      </c>
      <c r="D11">
        <v>2.9809999999999999</v>
      </c>
      <c r="E11">
        <v>3.0030000000000001</v>
      </c>
      <c r="F11">
        <v>2.9889999999999999</v>
      </c>
      <c r="G11">
        <v>2.988</v>
      </c>
      <c r="H11">
        <v>2.996</v>
      </c>
      <c r="I11">
        <v>2.984</v>
      </c>
      <c r="J11">
        <v>2.99</v>
      </c>
      <c r="K11">
        <v>3.008</v>
      </c>
      <c r="L11">
        <v>3.0059999999999998</v>
      </c>
      <c r="M11">
        <v>2.99</v>
      </c>
      <c r="N11">
        <v>2.9790000000000001</v>
      </c>
      <c r="O11" t="s">
        <v>46</v>
      </c>
      <c r="P11" t="s">
        <v>47</v>
      </c>
    </row>
    <row r="12" spans="1:16" x14ac:dyDescent="0.25">
      <c r="A12" s="27">
        <v>45564</v>
      </c>
      <c r="B12" s="28">
        <v>0.59138888888888885</v>
      </c>
      <c r="C12">
        <v>3.0190000000000001</v>
      </c>
      <c r="D12">
        <v>2.976</v>
      </c>
      <c r="E12">
        <v>3.0150000000000001</v>
      </c>
      <c r="F12">
        <v>2.9670000000000001</v>
      </c>
      <c r="G12">
        <v>2.976</v>
      </c>
      <c r="H12">
        <v>2.9740000000000002</v>
      </c>
      <c r="I12">
        <v>2.99</v>
      </c>
      <c r="J12">
        <v>2.9980000000000002</v>
      </c>
      <c r="K12">
        <v>3.0369999999999999</v>
      </c>
      <c r="L12">
        <v>3.0110000000000001</v>
      </c>
      <c r="M12">
        <v>3.012</v>
      </c>
      <c r="N12">
        <v>2.972</v>
      </c>
      <c r="O12" t="s">
        <v>46</v>
      </c>
      <c r="P12" t="s">
        <v>47</v>
      </c>
    </row>
    <row r="13" spans="1:16" x14ac:dyDescent="0.25">
      <c r="A13" s="27">
        <v>45564</v>
      </c>
      <c r="B13" s="28">
        <v>0.59260416666666671</v>
      </c>
      <c r="C13">
        <v>2.9790000000000001</v>
      </c>
      <c r="D13">
        <v>2.9910000000000001</v>
      </c>
      <c r="E13">
        <v>2.9689999999999999</v>
      </c>
      <c r="F13">
        <v>3.0009999999999999</v>
      </c>
      <c r="G13">
        <v>2.9820000000000002</v>
      </c>
      <c r="H13">
        <v>3.0139999999999998</v>
      </c>
      <c r="I13">
        <v>2.9780000000000002</v>
      </c>
      <c r="J13">
        <v>2.9990000000000001</v>
      </c>
      <c r="K13">
        <v>3.01</v>
      </c>
      <c r="L13">
        <v>2.992</v>
      </c>
      <c r="M13">
        <v>2.984</v>
      </c>
      <c r="N13">
        <v>3</v>
      </c>
      <c r="O13" t="s">
        <v>46</v>
      </c>
      <c r="P13" t="s">
        <v>47</v>
      </c>
    </row>
    <row r="14" spans="1:16" x14ac:dyDescent="0.25">
      <c r="A14" s="27">
        <v>45564</v>
      </c>
      <c r="B14" s="28">
        <v>0.59387731481481476</v>
      </c>
      <c r="C14">
        <v>2.9849999999999999</v>
      </c>
      <c r="D14">
        <v>3.032</v>
      </c>
      <c r="E14">
        <v>2.9889999999999999</v>
      </c>
      <c r="F14">
        <v>2.9870000000000001</v>
      </c>
      <c r="G14">
        <v>3.0070000000000001</v>
      </c>
      <c r="H14">
        <v>2.9910000000000001</v>
      </c>
      <c r="I14">
        <v>2.9550000000000001</v>
      </c>
      <c r="J14">
        <v>2.984</v>
      </c>
      <c r="K14">
        <v>3.0070000000000001</v>
      </c>
      <c r="L14">
        <v>2.9969999999999999</v>
      </c>
      <c r="M14">
        <v>2.9609999999999999</v>
      </c>
      <c r="N14">
        <v>3.0089999999999999</v>
      </c>
      <c r="O14" t="s">
        <v>46</v>
      </c>
      <c r="P14" t="s">
        <v>47</v>
      </c>
    </row>
    <row r="15" spans="1:16" x14ac:dyDescent="0.25">
      <c r="A15" s="27">
        <v>45564</v>
      </c>
      <c r="B15" s="28">
        <v>0.59509259259259262</v>
      </c>
      <c r="C15">
        <v>3.012</v>
      </c>
      <c r="D15">
        <v>3.0089999999999999</v>
      </c>
      <c r="E15">
        <v>3.0270000000000001</v>
      </c>
      <c r="F15">
        <v>3.0070000000000001</v>
      </c>
      <c r="G15">
        <v>3.0179999999999998</v>
      </c>
      <c r="H15">
        <v>3.0190000000000001</v>
      </c>
      <c r="I15">
        <v>2.9940000000000002</v>
      </c>
      <c r="J15">
        <v>2.9889999999999999</v>
      </c>
      <c r="K15">
        <v>2.992</v>
      </c>
      <c r="L15">
        <v>2.98</v>
      </c>
      <c r="M15">
        <v>3.0219999999999998</v>
      </c>
      <c r="N15">
        <v>3.0019999999999998</v>
      </c>
      <c r="O15" t="s">
        <v>46</v>
      </c>
      <c r="P15" t="s">
        <v>47</v>
      </c>
    </row>
    <row r="16" spans="1:16" x14ac:dyDescent="0.25">
      <c r="A16" s="27">
        <v>45564</v>
      </c>
      <c r="B16" s="28">
        <v>0.59640046296296301</v>
      </c>
      <c r="C16">
        <v>3.024</v>
      </c>
      <c r="D16">
        <v>2.9950000000000001</v>
      </c>
      <c r="E16">
        <v>2.996</v>
      </c>
      <c r="F16">
        <v>2.99</v>
      </c>
      <c r="G16">
        <v>3.0049999999999999</v>
      </c>
      <c r="H16">
        <v>2.97</v>
      </c>
      <c r="I16">
        <v>3.0070000000000001</v>
      </c>
      <c r="J16">
        <v>3.004</v>
      </c>
      <c r="K16">
        <v>2.9860000000000002</v>
      </c>
      <c r="L16">
        <v>3</v>
      </c>
      <c r="M16">
        <v>2.9929999999999999</v>
      </c>
      <c r="N16">
        <v>2.9929999999999999</v>
      </c>
      <c r="O16" t="s">
        <v>46</v>
      </c>
      <c r="P16" t="s">
        <v>47</v>
      </c>
    </row>
    <row r="17" spans="1:16" x14ac:dyDescent="0.25">
      <c r="A17" s="27">
        <v>45564</v>
      </c>
      <c r="B17" s="28">
        <v>0.59761574074074075</v>
      </c>
      <c r="C17">
        <v>2.9769999999999999</v>
      </c>
      <c r="D17">
        <v>2.9820000000000002</v>
      </c>
      <c r="E17">
        <v>3.0169999999999999</v>
      </c>
      <c r="F17">
        <v>2.9649999999999999</v>
      </c>
      <c r="G17">
        <v>2.9889999999999999</v>
      </c>
      <c r="H17">
        <v>2.968</v>
      </c>
      <c r="I17">
        <v>2.99</v>
      </c>
      <c r="J17">
        <v>2.9809999999999999</v>
      </c>
      <c r="K17">
        <v>2.96</v>
      </c>
      <c r="L17">
        <v>2.976</v>
      </c>
      <c r="M17">
        <v>2.9630000000000001</v>
      </c>
      <c r="N17">
        <v>2.9609999999999999</v>
      </c>
      <c r="O17" t="s">
        <v>46</v>
      </c>
      <c r="P17" t="s">
        <v>47</v>
      </c>
    </row>
    <row r="18" spans="1:16" x14ac:dyDescent="0.25">
      <c r="A18" s="27">
        <v>45564</v>
      </c>
      <c r="B18" s="28">
        <v>0.59973379629629631</v>
      </c>
      <c r="C18">
        <v>2.9649999999999999</v>
      </c>
      <c r="D18">
        <v>2.9590000000000001</v>
      </c>
      <c r="E18">
        <v>2.9740000000000002</v>
      </c>
      <c r="F18">
        <v>2.9809999999999999</v>
      </c>
      <c r="G18">
        <v>2.9689999999999999</v>
      </c>
      <c r="H18">
        <v>2.9670000000000001</v>
      </c>
      <c r="I18">
        <v>2.9820000000000002</v>
      </c>
      <c r="J18">
        <v>3.012</v>
      </c>
      <c r="K18">
        <v>2.9750000000000001</v>
      </c>
      <c r="L18">
        <v>2.9889999999999999</v>
      </c>
      <c r="M18">
        <v>2.988</v>
      </c>
      <c r="N18">
        <v>2.9769999999999999</v>
      </c>
      <c r="O18" t="s">
        <v>46</v>
      </c>
      <c r="P18" t="s">
        <v>47</v>
      </c>
    </row>
    <row r="19" spans="1:16" x14ac:dyDescent="0.25">
      <c r="A19" s="27">
        <v>45564</v>
      </c>
      <c r="B19" s="28">
        <v>0.60093750000000001</v>
      </c>
      <c r="C19">
        <v>3</v>
      </c>
      <c r="D19">
        <v>2.9950000000000001</v>
      </c>
      <c r="E19">
        <v>2.9860000000000002</v>
      </c>
      <c r="F19">
        <v>2.984</v>
      </c>
      <c r="G19">
        <v>2.9740000000000002</v>
      </c>
      <c r="H19">
        <v>3.0169999999999999</v>
      </c>
      <c r="I19">
        <v>2.9590000000000001</v>
      </c>
      <c r="J19">
        <v>2.9940000000000002</v>
      </c>
      <c r="K19">
        <v>2.976</v>
      </c>
      <c r="L19">
        <v>2.9910000000000001</v>
      </c>
      <c r="M19">
        <v>2.9729999999999999</v>
      </c>
      <c r="N19">
        <v>2.9870000000000001</v>
      </c>
      <c r="O19" t="s">
        <v>46</v>
      </c>
      <c r="P19" t="s">
        <v>47</v>
      </c>
    </row>
    <row r="20" spans="1:16" x14ac:dyDescent="0.25">
      <c r="A20" s="27">
        <v>45564</v>
      </c>
      <c r="B20" s="28">
        <v>0.60215277777777776</v>
      </c>
      <c r="C20">
        <v>2.992</v>
      </c>
      <c r="D20">
        <v>2.9689999999999999</v>
      </c>
      <c r="E20">
        <v>2.9870000000000001</v>
      </c>
      <c r="F20">
        <v>2.9950000000000001</v>
      </c>
      <c r="G20">
        <v>2.956</v>
      </c>
      <c r="H20">
        <v>2.9990000000000001</v>
      </c>
      <c r="I20">
        <v>2.9969999999999999</v>
      </c>
      <c r="J20">
        <v>2.97</v>
      </c>
      <c r="K20">
        <v>3.0009999999999999</v>
      </c>
      <c r="L20">
        <v>2.984</v>
      </c>
      <c r="M20">
        <v>2.9820000000000002</v>
      </c>
      <c r="N20">
        <v>2.9790000000000001</v>
      </c>
      <c r="O20" t="s">
        <v>46</v>
      </c>
      <c r="P20" t="s">
        <v>47</v>
      </c>
    </row>
    <row r="21" spans="1:16" x14ac:dyDescent="0.25">
      <c r="A21" s="27">
        <v>45564</v>
      </c>
      <c r="B21" s="28">
        <v>0.6033680555555555</v>
      </c>
      <c r="C21">
        <v>2.9990000000000001</v>
      </c>
      <c r="D21">
        <v>2.9809999999999999</v>
      </c>
      <c r="E21">
        <v>2.9910000000000001</v>
      </c>
      <c r="F21">
        <v>3.004</v>
      </c>
      <c r="G21">
        <v>3.0059999999999998</v>
      </c>
      <c r="H21">
        <v>2.9950000000000001</v>
      </c>
      <c r="I21">
        <v>2.9969999999999999</v>
      </c>
      <c r="J21">
        <v>2.99</v>
      </c>
      <c r="K21">
        <v>3.012</v>
      </c>
      <c r="L21">
        <v>2.9929999999999999</v>
      </c>
      <c r="M21">
        <v>3.0139999999999998</v>
      </c>
      <c r="N21">
        <v>3.0209999999999999</v>
      </c>
      <c r="O21" t="s">
        <v>46</v>
      </c>
      <c r="P21" t="s">
        <v>47</v>
      </c>
    </row>
    <row r="22" spans="1:16" x14ac:dyDescent="0.25">
      <c r="A22" s="27">
        <v>45564</v>
      </c>
      <c r="B22" s="28">
        <v>0.60458333333333336</v>
      </c>
      <c r="C22">
        <v>3.0049999999999999</v>
      </c>
      <c r="D22">
        <v>2.9990000000000001</v>
      </c>
      <c r="E22">
        <v>2.98</v>
      </c>
      <c r="F22">
        <v>3.0150000000000001</v>
      </c>
      <c r="G22">
        <v>3.0059999999999998</v>
      </c>
      <c r="H22">
        <v>2.9820000000000002</v>
      </c>
      <c r="I22">
        <v>2.9910000000000001</v>
      </c>
      <c r="J22">
        <v>3.004</v>
      </c>
      <c r="K22">
        <v>2.968</v>
      </c>
      <c r="L22">
        <v>2.988</v>
      </c>
      <c r="M22">
        <v>2.992</v>
      </c>
      <c r="N22">
        <v>3.008</v>
      </c>
      <c r="O22" t="s">
        <v>46</v>
      </c>
      <c r="P22" t="s">
        <v>47</v>
      </c>
    </row>
    <row r="23" spans="1:16" x14ac:dyDescent="0.25">
      <c r="A23" s="27">
        <v>45564</v>
      </c>
      <c r="B23" s="28">
        <v>0.60579861111111111</v>
      </c>
      <c r="C23">
        <v>2.9660000000000002</v>
      </c>
      <c r="D23">
        <v>2.988</v>
      </c>
      <c r="E23">
        <v>3.0070000000000001</v>
      </c>
      <c r="F23">
        <v>3.0009999999999999</v>
      </c>
      <c r="G23">
        <v>3.0110000000000001</v>
      </c>
      <c r="H23">
        <v>3</v>
      </c>
      <c r="I23">
        <v>3</v>
      </c>
      <c r="J23">
        <v>3.0019999999999998</v>
      </c>
      <c r="K23">
        <v>2.9809999999999999</v>
      </c>
      <c r="L23">
        <v>2.9710000000000001</v>
      </c>
      <c r="M23">
        <v>2.9809999999999999</v>
      </c>
      <c r="N23">
        <v>2.9870000000000001</v>
      </c>
      <c r="O23" t="s">
        <v>46</v>
      </c>
      <c r="P23" t="s">
        <v>47</v>
      </c>
    </row>
    <row r="24" spans="1:16" x14ac:dyDescent="0.25">
      <c r="A24" s="27">
        <v>45564</v>
      </c>
      <c r="B24" s="28">
        <v>0.60701388888888885</v>
      </c>
      <c r="C24">
        <v>2.9750000000000001</v>
      </c>
      <c r="D24">
        <v>2.996</v>
      </c>
      <c r="E24">
        <v>3.024</v>
      </c>
      <c r="F24">
        <v>2.9929999999999999</v>
      </c>
      <c r="G24">
        <v>2.9990000000000001</v>
      </c>
      <c r="H24">
        <v>3.008</v>
      </c>
      <c r="I24">
        <v>2.9630000000000001</v>
      </c>
      <c r="J24">
        <v>2.992</v>
      </c>
      <c r="K24">
        <v>3.024</v>
      </c>
      <c r="L24">
        <v>3.04</v>
      </c>
      <c r="M24">
        <v>2.992</v>
      </c>
      <c r="N24">
        <v>2.972</v>
      </c>
      <c r="O24" t="s">
        <v>46</v>
      </c>
      <c r="P24" t="s">
        <v>47</v>
      </c>
    </row>
    <row r="25" spans="1:16" x14ac:dyDescent="0.25">
      <c r="A25" s="27">
        <v>45564</v>
      </c>
      <c r="B25" s="28">
        <v>0.60822916666666671</v>
      </c>
      <c r="C25">
        <v>2.9950000000000001</v>
      </c>
      <c r="D25">
        <v>2.972</v>
      </c>
      <c r="E25">
        <v>2.9910000000000001</v>
      </c>
      <c r="F25">
        <v>2.9969999999999999</v>
      </c>
      <c r="G25">
        <v>2.9940000000000002</v>
      </c>
      <c r="H25">
        <v>2.9780000000000002</v>
      </c>
      <c r="I25">
        <v>3.0310000000000001</v>
      </c>
      <c r="J25">
        <v>3.0070000000000001</v>
      </c>
      <c r="K25">
        <v>3.0350000000000001</v>
      </c>
      <c r="L25">
        <v>3.0449999999999999</v>
      </c>
      <c r="M25">
        <v>3.04</v>
      </c>
      <c r="N25">
        <v>3.0350000000000001</v>
      </c>
      <c r="O25" t="s">
        <v>46</v>
      </c>
      <c r="P25" t="s">
        <v>47</v>
      </c>
    </row>
    <row r="26" spans="1:16" x14ac:dyDescent="0.25">
      <c r="A26" s="27">
        <v>45564</v>
      </c>
      <c r="B26" s="28">
        <v>0.60950231481481476</v>
      </c>
      <c r="C26">
        <v>3.0659999999999998</v>
      </c>
      <c r="D26">
        <v>3.028</v>
      </c>
      <c r="E26">
        <v>3.024</v>
      </c>
      <c r="F26">
        <v>3.0329999999999999</v>
      </c>
      <c r="G26">
        <v>3.0339999999999998</v>
      </c>
      <c r="H26">
        <v>3.0569999999999999</v>
      </c>
      <c r="O26" t="s">
        <v>46</v>
      </c>
      <c r="P26" t="s">
        <v>47</v>
      </c>
    </row>
    <row r="27" spans="1:16" x14ac:dyDescent="0.25">
      <c r="A27" s="27">
        <v>45564</v>
      </c>
      <c r="B27" s="28">
        <v>0.61906249999999996</v>
      </c>
      <c r="I27">
        <v>2.94</v>
      </c>
      <c r="J27">
        <v>3.0179999999999998</v>
      </c>
      <c r="K27">
        <v>2.9820000000000002</v>
      </c>
      <c r="L27">
        <v>2.9670000000000001</v>
      </c>
      <c r="M27">
        <v>2.9990000000000001</v>
      </c>
      <c r="N27">
        <v>2.992</v>
      </c>
      <c r="O27" t="s">
        <v>46</v>
      </c>
    </row>
    <row r="28" spans="1:16" x14ac:dyDescent="0.25">
      <c r="A28" s="27">
        <v>45564</v>
      </c>
      <c r="B28" s="28">
        <v>0.61967592592592591</v>
      </c>
      <c r="C28">
        <v>3.0270000000000001</v>
      </c>
      <c r="D28">
        <v>3.0030000000000001</v>
      </c>
      <c r="E28">
        <v>2.9969999999999999</v>
      </c>
      <c r="F28">
        <v>2.9929999999999999</v>
      </c>
      <c r="G28">
        <v>2.9889999999999999</v>
      </c>
      <c r="H28">
        <v>3.0009999999999999</v>
      </c>
      <c r="I28">
        <v>2.9550000000000001</v>
      </c>
      <c r="J28">
        <v>2.9990000000000001</v>
      </c>
      <c r="K28">
        <v>2.9929999999999999</v>
      </c>
      <c r="L28">
        <v>2.9750000000000001</v>
      </c>
      <c r="M28">
        <v>3.0139999999999998</v>
      </c>
      <c r="N28">
        <v>3.0339999999999998</v>
      </c>
      <c r="O28" t="s">
        <v>46</v>
      </c>
      <c r="P28" t="s">
        <v>47</v>
      </c>
    </row>
    <row r="29" spans="1:16" x14ac:dyDescent="0.25">
      <c r="A29" s="27">
        <v>45564</v>
      </c>
      <c r="B29" s="28">
        <v>0.62089120370370365</v>
      </c>
      <c r="C29">
        <v>3.0390000000000001</v>
      </c>
      <c r="D29">
        <v>2.9889999999999999</v>
      </c>
      <c r="E29">
        <v>3.004</v>
      </c>
      <c r="F29">
        <v>3.0009999999999999</v>
      </c>
      <c r="G29">
        <v>2.9980000000000002</v>
      </c>
      <c r="H29">
        <v>3.0419999999999998</v>
      </c>
      <c r="I29">
        <v>3.004</v>
      </c>
      <c r="J29">
        <v>2.98</v>
      </c>
      <c r="K29">
        <v>2.984</v>
      </c>
      <c r="L29">
        <v>2.97</v>
      </c>
      <c r="M29">
        <v>2.9849999999999999</v>
      </c>
      <c r="N29">
        <v>3.0059999999999998</v>
      </c>
      <c r="O29" t="s">
        <v>46</v>
      </c>
      <c r="P29" t="s">
        <v>47</v>
      </c>
    </row>
    <row r="30" spans="1:16" x14ac:dyDescent="0.25">
      <c r="A30" s="27">
        <v>45564</v>
      </c>
      <c r="B30" s="28">
        <v>0.62210648148148151</v>
      </c>
      <c r="C30">
        <v>3.0019999999999998</v>
      </c>
      <c r="D30">
        <v>3.008</v>
      </c>
      <c r="E30">
        <v>3.02</v>
      </c>
      <c r="F30">
        <v>3</v>
      </c>
      <c r="G30">
        <v>3.0070000000000001</v>
      </c>
      <c r="H30">
        <v>3.032</v>
      </c>
      <c r="I30">
        <v>3.02</v>
      </c>
      <c r="J30">
        <v>2.9860000000000002</v>
      </c>
      <c r="K30">
        <v>2.988</v>
      </c>
      <c r="L30">
        <v>2.97</v>
      </c>
      <c r="M30">
        <v>3</v>
      </c>
      <c r="N30">
        <v>3.0139999999999998</v>
      </c>
      <c r="O30" t="s">
        <v>46</v>
      </c>
      <c r="P30" t="s">
        <v>47</v>
      </c>
    </row>
    <row r="31" spans="1:16" x14ac:dyDescent="0.25">
      <c r="A31" s="27">
        <v>45564</v>
      </c>
      <c r="B31" s="28">
        <v>0.62331018518518522</v>
      </c>
      <c r="C31">
        <v>3.024</v>
      </c>
      <c r="D31">
        <v>3.0169999999999999</v>
      </c>
      <c r="E31">
        <v>3.03</v>
      </c>
      <c r="F31">
        <v>2.9990000000000001</v>
      </c>
      <c r="G31">
        <v>3.0110000000000001</v>
      </c>
      <c r="H31">
        <v>3.0179999999999998</v>
      </c>
      <c r="I31">
        <v>2.992</v>
      </c>
      <c r="J31">
        <v>3.0110000000000001</v>
      </c>
      <c r="K31">
        <v>2.992</v>
      </c>
      <c r="L31">
        <v>3.0179999999999998</v>
      </c>
      <c r="M31">
        <v>2.9990000000000001</v>
      </c>
      <c r="N31">
        <v>2.9990000000000001</v>
      </c>
      <c r="O31" t="s">
        <v>46</v>
      </c>
      <c r="P31" t="s">
        <v>47</v>
      </c>
    </row>
    <row r="32" spans="1:16" x14ac:dyDescent="0.25">
      <c r="A32" s="27">
        <v>45564</v>
      </c>
      <c r="B32" s="28">
        <v>0.62452546296296296</v>
      </c>
      <c r="C32">
        <v>2.9590000000000001</v>
      </c>
      <c r="D32">
        <v>2.9910000000000001</v>
      </c>
      <c r="E32">
        <v>2.9660000000000002</v>
      </c>
      <c r="F32">
        <v>2.992</v>
      </c>
      <c r="G32">
        <v>2.996</v>
      </c>
      <c r="H32">
        <v>3.0129999999999999</v>
      </c>
      <c r="I32">
        <v>2.99</v>
      </c>
      <c r="J32">
        <v>3.0070000000000001</v>
      </c>
      <c r="K32">
        <v>3.0059999999999998</v>
      </c>
      <c r="L32">
        <v>3.0129999999999999</v>
      </c>
      <c r="M32">
        <v>2.9950000000000001</v>
      </c>
      <c r="N32">
        <v>3.012</v>
      </c>
      <c r="O32" t="s">
        <v>46</v>
      </c>
      <c r="P32" t="s">
        <v>47</v>
      </c>
    </row>
    <row r="33" spans="1:16" x14ac:dyDescent="0.25">
      <c r="A33" s="27">
        <v>45564</v>
      </c>
      <c r="B33" s="28">
        <v>0.62574074074074071</v>
      </c>
      <c r="C33">
        <v>2.9889999999999999</v>
      </c>
      <c r="D33">
        <v>2.9950000000000001</v>
      </c>
      <c r="E33">
        <v>2.9849999999999999</v>
      </c>
      <c r="F33">
        <v>3.0059999999999998</v>
      </c>
      <c r="G33">
        <v>3.0070000000000001</v>
      </c>
      <c r="H33">
        <v>3.0070000000000001</v>
      </c>
      <c r="I33">
        <v>2.988</v>
      </c>
      <c r="J33">
        <v>2.9889999999999999</v>
      </c>
      <c r="K33">
        <v>2.996</v>
      </c>
      <c r="L33">
        <v>2.9830000000000001</v>
      </c>
      <c r="M33">
        <v>2.98</v>
      </c>
      <c r="N33">
        <v>2.9889999999999999</v>
      </c>
      <c r="O33" t="s">
        <v>46</v>
      </c>
      <c r="P33" t="s">
        <v>47</v>
      </c>
    </row>
    <row r="34" spans="1:16" x14ac:dyDescent="0.25">
      <c r="A34" s="27">
        <v>45564</v>
      </c>
      <c r="B34" s="28">
        <v>0.62695601851851845</v>
      </c>
      <c r="C34">
        <v>2.9950000000000001</v>
      </c>
      <c r="D34">
        <v>3.0059999999999998</v>
      </c>
      <c r="E34">
        <v>2.9889999999999999</v>
      </c>
      <c r="F34">
        <v>3.016</v>
      </c>
      <c r="G34">
        <v>2.996</v>
      </c>
      <c r="H34">
        <v>2.992</v>
      </c>
      <c r="I34">
        <v>3.0070000000000001</v>
      </c>
      <c r="J34">
        <v>2.9910000000000001</v>
      </c>
      <c r="K34">
        <v>3.004</v>
      </c>
      <c r="L34">
        <v>3.016</v>
      </c>
      <c r="M34">
        <v>3.0190000000000001</v>
      </c>
      <c r="N34">
        <v>2.9950000000000001</v>
      </c>
      <c r="O34" t="s">
        <v>46</v>
      </c>
      <c r="P34" t="s">
        <v>47</v>
      </c>
    </row>
    <row r="35" spans="1:16" x14ac:dyDescent="0.25">
      <c r="A35" s="27">
        <v>45564</v>
      </c>
      <c r="B35" s="28">
        <v>0.62817129629629631</v>
      </c>
      <c r="C35">
        <v>2.9820000000000002</v>
      </c>
      <c r="D35">
        <v>3.0179999999999998</v>
      </c>
      <c r="E35">
        <v>2.9969999999999999</v>
      </c>
      <c r="F35">
        <v>3.0249999999999999</v>
      </c>
      <c r="G35">
        <v>3.02</v>
      </c>
      <c r="H35">
        <v>3.0169999999999999</v>
      </c>
      <c r="O35" t="s">
        <v>46</v>
      </c>
      <c r="P35" t="s">
        <v>47</v>
      </c>
    </row>
    <row r="36" spans="1:16" x14ac:dyDescent="0.25">
      <c r="A36" s="27">
        <v>45564</v>
      </c>
      <c r="B36" s="28">
        <v>0.63537037037037036</v>
      </c>
      <c r="C36">
        <v>3.0049999999999999</v>
      </c>
      <c r="D36">
        <v>2.9809999999999999</v>
      </c>
      <c r="E36">
        <v>2.9830000000000001</v>
      </c>
      <c r="F36">
        <v>3.0019999999999998</v>
      </c>
      <c r="G36">
        <v>2.9849999999999999</v>
      </c>
      <c r="H36">
        <v>2.98</v>
      </c>
      <c r="I36">
        <v>2.9969999999999999</v>
      </c>
      <c r="J36">
        <v>3.0049999999999999</v>
      </c>
      <c r="K36">
        <v>3.0049999999999999</v>
      </c>
      <c r="L36">
        <v>3.0230000000000001</v>
      </c>
      <c r="M36">
        <v>3.0209999999999999</v>
      </c>
      <c r="N36">
        <v>2.984</v>
      </c>
      <c r="O36" t="s">
        <v>46</v>
      </c>
      <c r="P36" t="s">
        <v>47</v>
      </c>
    </row>
    <row r="37" spans="1:16" x14ac:dyDescent="0.25">
      <c r="A37" s="27">
        <v>45564</v>
      </c>
      <c r="B37" s="28">
        <v>0.63658564814814811</v>
      </c>
      <c r="C37">
        <v>3.0059999999999998</v>
      </c>
      <c r="D37">
        <v>3.0209999999999999</v>
      </c>
      <c r="E37">
        <v>2.9969999999999999</v>
      </c>
      <c r="F37">
        <v>2.9929999999999999</v>
      </c>
      <c r="G37">
        <v>2.99</v>
      </c>
      <c r="H37">
        <v>3.0019999999999998</v>
      </c>
      <c r="I37">
        <v>3.0049999999999999</v>
      </c>
      <c r="J37">
        <v>2.988</v>
      </c>
      <c r="K37">
        <v>3.012</v>
      </c>
      <c r="L37">
        <v>3.0009999999999999</v>
      </c>
      <c r="M37">
        <v>2.9889999999999999</v>
      </c>
      <c r="N37">
        <v>3.028</v>
      </c>
      <c r="O37" t="s">
        <v>46</v>
      </c>
      <c r="P37" t="s">
        <v>47</v>
      </c>
    </row>
    <row r="38" spans="1:16" x14ac:dyDescent="0.25">
      <c r="A38" s="27">
        <v>45564</v>
      </c>
      <c r="B38" s="28">
        <v>0.63780092592592597</v>
      </c>
      <c r="C38">
        <v>3.012</v>
      </c>
      <c r="D38">
        <v>2.9710000000000001</v>
      </c>
      <c r="E38">
        <v>3.0049999999999999</v>
      </c>
      <c r="F38">
        <v>2.98</v>
      </c>
      <c r="G38">
        <v>2.9940000000000002</v>
      </c>
      <c r="H38">
        <v>2.984</v>
      </c>
      <c r="I38">
        <v>3.0219999999999998</v>
      </c>
      <c r="J38">
        <v>3.0230000000000001</v>
      </c>
      <c r="K38">
        <v>3.0150000000000001</v>
      </c>
      <c r="L38">
        <v>3.0030000000000001</v>
      </c>
      <c r="M38">
        <v>2.9950000000000001</v>
      </c>
      <c r="N38">
        <v>3.0310000000000001</v>
      </c>
      <c r="O38" t="s">
        <v>46</v>
      </c>
      <c r="P38" t="s">
        <v>47</v>
      </c>
    </row>
    <row r="39" spans="1:16" x14ac:dyDescent="0.25">
      <c r="A39" s="27">
        <v>45564</v>
      </c>
      <c r="B39" s="28">
        <v>0.63901620370370371</v>
      </c>
      <c r="C39">
        <v>3.01</v>
      </c>
      <c r="D39">
        <v>2.99</v>
      </c>
      <c r="E39">
        <v>3.004</v>
      </c>
      <c r="F39">
        <v>2.9740000000000002</v>
      </c>
      <c r="G39">
        <v>2.9969999999999999</v>
      </c>
      <c r="H39">
        <v>2.9950000000000001</v>
      </c>
      <c r="I39">
        <v>2.9980000000000002</v>
      </c>
      <c r="J39">
        <v>3.0129999999999999</v>
      </c>
      <c r="K39">
        <v>2.9969999999999999</v>
      </c>
      <c r="L39">
        <v>3.0059999999999998</v>
      </c>
      <c r="M39">
        <v>3.0129999999999999</v>
      </c>
      <c r="N39">
        <v>2.9940000000000002</v>
      </c>
      <c r="O39" t="s">
        <v>46</v>
      </c>
      <c r="P39" t="s">
        <v>47</v>
      </c>
    </row>
    <row r="40" spans="1:16" x14ac:dyDescent="0.25">
      <c r="A40" s="27">
        <v>45564</v>
      </c>
      <c r="B40" s="28">
        <v>0.64023148148148146</v>
      </c>
      <c r="C40">
        <v>2.9950000000000001</v>
      </c>
      <c r="D40">
        <v>2.9929999999999999</v>
      </c>
      <c r="E40">
        <v>2.9980000000000002</v>
      </c>
      <c r="F40">
        <v>2.9969999999999999</v>
      </c>
      <c r="G40">
        <v>3.0019999999999998</v>
      </c>
      <c r="H40">
        <v>3.01</v>
      </c>
      <c r="I40">
        <v>2.9940000000000002</v>
      </c>
      <c r="J40">
        <v>2.992</v>
      </c>
      <c r="K40">
        <v>3.0059999999999998</v>
      </c>
      <c r="L40">
        <v>3.0139999999999998</v>
      </c>
      <c r="M40">
        <v>2.9990000000000001</v>
      </c>
      <c r="N40">
        <v>2.9670000000000001</v>
      </c>
      <c r="O40" t="s">
        <v>46</v>
      </c>
      <c r="P40" t="s">
        <v>47</v>
      </c>
    </row>
    <row r="41" spans="1:16" x14ac:dyDescent="0.25">
      <c r="A41" s="27">
        <v>45564</v>
      </c>
      <c r="B41" s="28">
        <v>0.64143518518518516</v>
      </c>
      <c r="C41">
        <v>2.968</v>
      </c>
      <c r="D41">
        <v>3.0019999999999998</v>
      </c>
      <c r="E41">
        <v>3.016</v>
      </c>
      <c r="F41">
        <v>3.0179999999999998</v>
      </c>
      <c r="G41">
        <v>3.008</v>
      </c>
      <c r="H41">
        <v>3.0310000000000001</v>
      </c>
      <c r="I41">
        <v>2.984</v>
      </c>
      <c r="J41">
        <v>2.964</v>
      </c>
      <c r="K41">
        <v>2.9809999999999999</v>
      </c>
      <c r="L41">
        <v>2.9860000000000002</v>
      </c>
      <c r="M41">
        <v>3.0009999999999999</v>
      </c>
      <c r="N41">
        <v>2.9849999999999999</v>
      </c>
      <c r="O41" t="s">
        <v>46</v>
      </c>
      <c r="P41" t="s">
        <v>47</v>
      </c>
    </row>
    <row r="42" spans="1:16" x14ac:dyDescent="0.25">
      <c r="A42" s="27">
        <v>45564</v>
      </c>
      <c r="B42" s="28">
        <v>0.64265046296296291</v>
      </c>
      <c r="C42">
        <v>2.9489999999999998</v>
      </c>
      <c r="D42">
        <v>2.9980000000000002</v>
      </c>
      <c r="E42">
        <v>2.9550000000000001</v>
      </c>
      <c r="F42">
        <v>2.9860000000000002</v>
      </c>
      <c r="G42">
        <v>2.9830000000000001</v>
      </c>
      <c r="H42">
        <v>2.9809999999999999</v>
      </c>
      <c r="I42">
        <v>2.9950000000000001</v>
      </c>
      <c r="J42">
        <v>2.9849999999999999</v>
      </c>
      <c r="K42">
        <v>2.9620000000000002</v>
      </c>
      <c r="L42">
        <v>2.9910000000000001</v>
      </c>
      <c r="M42">
        <v>2.9780000000000002</v>
      </c>
      <c r="N42">
        <v>2.9860000000000002</v>
      </c>
      <c r="O42" t="s">
        <v>46</v>
      </c>
      <c r="P42" t="s">
        <v>47</v>
      </c>
    </row>
    <row r="43" spans="1:16" x14ac:dyDescent="0.25">
      <c r="A43" s="27">
        <v>45564</v>
      </c>
      <c r="B43" s="28">
        <v>0.64386574074074077</v>
      </c>
      <c r="C43">
        <v>2.9870000000000001</v>
      </c>
      <c r="D43">
        <v>3.0049999999999999</v>
      </c>
      <c r="E43">
        <v>2.9750000000000001</v>
      </c>
      <c r="F43">
        <v>3.0030000000000001</v>
      </c>
      <c r="G43">
        <v>2.9820000000000002</v>
      </c>
      <c r="H43">
        <v>2.992</v>
      </c>
      <c r="I43">
        <v>3.0009999999999999</v>
      </c>
      <c r="J43">
        <v>3.0049999999999999</v>
      </c>
      <c r="K43">
        <v>2.9940000000000002</v>
      </c>
      <c r="L43">
        <v>2.992</v>
      </c>
      <c r="M43">
        <v>3.0110000000000001</v>
      </c>
      <c r="N43">
        <v>3.0190000000000001</v>
      </c>
      <c r="O43" t="s">
        <v>46</v>
      </c>
      <c r="P43" t="s">
        <v>47</v>
      </c>
    </row>
    <row r="44" spans="1:16" x14ac:dyDescent="0.25">
      <c r="A44" s="27">
        <v>45564</v>
      </c>
      <c r="B44" s="28">
        <v>0.64508101851851851</v>
      </c>
      <c r="C44">
        <v>3.0070000000000001</v>
      </c>
      <c r="D44">
        <v>3.02</v>
      </c>
      <c r="E44">
        <v>3.0139999999999998</v>
      </c>
      <c r="F44">
        <v>3.0150000000000001</v>
      </c>
      <c r="G44">
        <v>2.9889999999999999</v>
      </c>
      <c r="H44">
        <v>3.0059999999999998</v>
      </c>
      <c r="I44">
        <v>3.0230000000000001</v>
      </c>
      <c r="J44">
        <v>2.992</v>
      </c>
      <c r="K44">
        <v>2.9870000000000001</v>
      </c>
      <c r="L44">
        <v>3.01</v>
      </c>
      <c r="M44">
        <v>2.9969999999999999</v>
      </c>
      <c r="N44">
        <v>2.9969999999999999</v>
      </c>
      <c r="O44" t="s">
        <v>46</v>
      </c>
      <c r="P44" t="s">
        <v>47</v>
      </c>
    </row>
    <row r="45" spans="1:16" x14ac:dyDescent="0.25">
      <c r="A45" s="27">
        <v>45564</v>
      </c>
      <c r="B45" s="28">
        <v>0.64879629629629632</v>
      </c>
      <c r="I45">
        <v>2.9940000000000002</v>
      </c>
      <c r="J45">
        <v>2.984</v>
      </c>
      <c r="K45">
        <v>2.9710000000000001</v>
      </c>
      <c r="L45">
        <v>2.9780000000000002</v>
      </c>
      <c r="M45">
        <v>2.9790000000000001</v>
      </c>
      <c r="N45">
        <v>2.9729999999999999</v>
      </c>
      <c r="O45" t="s">
        <v>46</v>
      </c>
      <c r="P45" t="s">
        <v>47</v>
      </c>
    </row>
    <row r="46" spans="1:16" x14ac:dyDescent="0.25">
      <c r="A46" s="27">
        <v>45564</v>
      </c>
      <c r="B46" s="28">
        <v>0.64940972222222226</v>
      </c>
      <c r="C46">
        <v>2.9860000000000002</v>
      </c>
      <c r="D46">
        <v>2.9940000000000002</v>
      </c>
      <c r="E46">
        <v>3.004</v>
      </c>
      <c r="F46">
        <v>2.9980000000000002</v>
      </c>
      <c r="G46">
        <v>3.016</v>
      </c>
      <c r="H46">
        <v>2.9969999999999999</v>
      </c>
      <c r="I46">
        <v>2.9809999999999999</v>
      </c>
      <c r="J46">
        <v>3.008</v>
      </c>
      <c r="K46">
        <v>3.0289999999999999</v>
      </c>
      <c r="L46">
        <v>2.9929999999999999</v>
      </c>
      <c r="M46">
        <v>2.992</v>
      </c>
      <c r="N46">
        <v>3.0030000000000001</v>
      </c>
      <c r="O46" t="s">
        <v>46</v>
      </c>
      <c r="P46" t="s">
        <v>47</v>
      </c>
    </row>
    <row r="47" spans="1:16" x14ac:dyDescent="0.25">
      <c r="A47" s="27">
        <v>45564</v>
      </c>
      <c r="B47" s="28">
        <v>0.65062500000000001</v>
      </c>
      <c r="C47">
        <v>3.0009999999999999</v>
      </c>
      <c r="D47">
        <v>3.0150000000000001</v>
      </c>
      <c r="E47">
        <v>3.0310000000000001</v>
      </c>
      <c r="F47">
        <v>2.9969999999999999</v>
      </c>
      <c r="G47">
        <v>3.0150000000000001</v>
      </c>
      <c r="H47">
        <v>2.9969999999999999</v>
      </c>
      <c r="I47">
        <v>2.99</v>
      </c>
      <c r="J47">
        <v>3.0369999999999999</v>
      </c>
      <c r="K47">
        <v>3.0190000000000001</v>
      </c>
      <c r="L47">
        <v>3.0049999999999999</v>
      </c>
      <c r="M47">
        <v>3.0009999999999999</v>
      </c>
      <c r="N47">
        <v>3.0019999999999998</v>
      </c>
      <c r="O47" t="s">
        <v>46</v>
      </c>
      <c r="P47" t="s">
        <v>47</v>
      </c>
    </row>
    <row r="48" spans="1:16" x14ac:dyDescent="0.25">
      <c r="A48" s="27">
        <v>45564</v>
      </c>
      <c r="B48" s="28">
        <v>0.65184027777777775</v>
      </c>
      <c r="C48">
        <v>2.9820000000000002</v>
      </c>
      <c r="D48">
        <v>2.9929999999999999</v>
      </c>
      <c r="E48">
        <v>3.0089999999999999</v>
      </c>
      <c r="F48">
        <v>3.0019999999999998</v>
      </c>
      <c r="G48">
        <v>3</v>
      </c>
      <c r="H48">
        <v>3.0110000000000001</v>
      </c>
      <c r="I48">
        <v>2.9980000000000002</v>
      </c>
      <c r="J48">
        <v>2.9929999999999999</v>
      </c>
      <c r="K48">
        <v>2.984</v>
      </c>
      <c r="L48">
        <v>3.016</v>
      </c>
      <c r="M48">
        <v>3.004</v>
      </c>
      <c r="N48">
        <v>3.0059999999999998</v>
      </c>
      <c r="O48" t="s">
        <v>46</v>
      </c>
      <c r="P48" t="s">
        <v>47</v>
      </c>
    </row>
    <row r="49" spans="1:16" x14ac:dyDescent="0.25">
      <c r="A49" s="27">
        <v>45564</v>
      </c>
      <c r="B49" s="28">
        <v>0.65305555555555561</v>
      </c>
      <c r="C49">
        <v>3.0219999999999998</v>
      </c>
      <c r="D49">
        <v>3</v>
      </c>
      <c r="E49">
        <v>2.992</v>
      </c>
      <c r="F49">
        <v>2.988</v>
      </c>
      <c r="G49">
        <v>2.9820000000000002</v>
      </c>
      <c r="H49">
        <v>2.9889999999999999</v>
      </c>
      <c r="I49">
        <v>2.9820000000000002</v>
      </c>
      <c r="J49">
        <v>3.0059999999999998</v>
      </c>
      <c r="K49">
        <v>2.9870000000000001</v>
      </c>
      <c r="L49">
        <v>3.004</v>
      </c>
      <c r="M49">
        <v>2.9940000000000002</v>
      </c>
      <c r="N49">
        <v>2.9860000000000002</v>
      </c>
      <c r="O49" t="s">
        <v>46</v>
      </c>
      <c r="P49" t="s">
        <v>47</v>
      </c>
    </row>
    <row r="50" spans="1:16" x14ac:dyDescent="0.25">
      <c r="A50" s="27">
        <v>45564</v>
      </c>
      <c r="B50" s="28">
        <v>0.65427083333333336</v>
      </c>
      <c r="C50">
        <v>3.0059999999999998</v>
      </c>
      <c r="D50">
        <v>3</v>
      </c>
      <c r="E50">
        <v>2.992</v>
      </c>
      <c r="F50">
        <v>3.0009999999999999</v>
      </c>
      <c r="G50">
        <v>2.992</v>
      </c>
      <c r="H50">
        <v>3.004</v>
      </c>
      <c r="I50">
        <v>3.01</v>
      </c>
      <c r="J50">
        <v>2.9969999999999999</v>
      </c>
      <c r="K50">
        <v>2.988</v>
      </c>
      <c r="L50">
        <v>2.9980000000000002</v>
      </c>
      <c r="M50">
        <v>3.016</v>
      </c>
      <c r="N50">
        <v>3.012</v>
      </c>
      <c r="O50" t="s">
        <v>46</v>
      </c>
      <c r="P50" t="s">
        <v>47</v>
      </c>
    </row>
    <row r="51" spans="1:16" x14ac:dyDescent="0.25">
      <c r="A51" s="27">
        <v>45564</v>
      </c>
      <c r="B51" s="28">
        <v>0.65547453703703706</v>
      </c>
      <c r="C51">
        <v>2.9820000000000002</v>
      </c>
      <c r="D51">
        <v>2.9820000000000002</v>
      </c>
      <c r="E51">
        <v>2.996</v>
      </c>
      <c r="F51">
        <v>2.996</v>
      </c>
      <c r="G51">
        <v>2.9950000000000001</v>
      </c>
      <c r="H51">
        <v>2.9929999999999999</v>
      </c>
      <c r="I51">
        <v>3.0259999999999998</v>
      </c>
      <c r="J51">
        <v>3.0129999999999999</v>
      </c>
      <c r="K51">
        <v>3.0089999999999999</v>
      </c>
      <c r="L51">
        <v>2.9860000000000002</v>
      </c>
      <c r="M51">
        <v>3.012</v>
      </c>
      <c r="N51">
        <v>3.008</v>
      </c>
      <c r="O51" t="s">
        <v>46</v>
      </c>
      <c r="P51" t="s">
        <v>47</v>
      </c>
    </row>
    <row r="52" spans="1:16" x14ac:dyDescent="0.25">
      <c r="A52" s="27">
        <v>45564</v>
      </c>
      <c r="B52" s="28">
        <v>0.65694444444444444</v>
      </c>
      <c r="C52">
        <v>2.9550000000000001</v>
      </c>
      <c r="D52">
        <v>2.9689999999999999</v>
      </c>
      <c r="E52">
        <v>2.9630000000000001</v>
      </c>
      <c r="F52">
        <v>2.964</v>
      </c>
      <c r="G52">
        <v>2.96</v>
      </c>
      <c r="H52">
        <v>3.0070000000000001</v>
      </c>
      <c r="I52">
        <v>3.0030000000000001</v>
      </c>
      <c r="J52">
        <v>3.02</v>
      </c>
      <c r="K52">
        <v>3.0209999999999999</v>
      </c>
      <c r="L52">
        <v>3.0009999999999999</v>
      </c>
      <c r="M52">
        <v>3.0139999999999998</v>
      </c>
      <c r="N52">
        <v>2.9990000000000001</v>
      </c>
      <c r="O52" t="s">
        <v>46</v>
      </c>
      <c r="P52" t="s">
        <v>47</v>
      </c>
    </row>
    <row r="53" spans="1:16" x14ac:dyDescent="0.25">
      <c r="A53" s="27">
        <v>45564</v>
      </c>
      <c r="B53" s="28">
        <v>0.65815972222222219</v>
      </c>
      <c r="C53">
        <v>2.9980000000000002</v>
      </c>
      <c r="D53">
        <v>2.9980000000000002</v>
      </c>
      <c r="E53">
        <v>2.9830000000000001</v>
      </c>
      <c r="F53">
        <v>3.024</v>
      </c>
      <c r="G53">
        <v>3.004</v>
      </c>
      <c r="H53">
        <v>2.9689999999999999</v>
      </c>
      <c r="I53">
        <v>2.9790000000000001</v>
      </c>
      <c r="J53">
        <v>2.99</v>
      </c>
      <c r="K53">
        <v>2.99</v>
      </c>
      <c r="L53">
        <v>2.9980000000000002</v>
      </c>
      <c r="M53">
        <v>2.976</v>
      </c>
      <c r="N53">
        <v>2.976</v>
      </c>
      <c r="O53" t="s">
        <v>46</v>
      </c>
      <c r="P53" t="s">
        <v>47</v>
      </c>
    </row>
    <row r="54" spans="1:16" x14ac:dyDescent="0.25">
      <c r="A54" s="27">
        <v>45564</v>
      </c>
      <c r="B54" s="28">
        <v>0.66141203703703699</v>
      </c>
      <c r="C54">
        <v>3.0289999999999999</v>
      </c>
      <c r="D54">
        <v>3.0089999999999999</v>
      </c>
      <c r="E54">
        <v>3.0110000000000001</v>
      </c>
      <c r="F54">
        <v>3.0270000000000001</v>
      </c>
      <c r="G54">
        <v>3.0139999999999998</v>
      </c>
      <c r="H54">
        <v>3.0139999999999998</v>
      </c>
      <c r="O54" t="s">
        <v>46</v>
      </c>
      <c r="P54" t="s">
        <v>47</v>
      </c>
    </row>
    <row r="55" spans="1:16" x14ac:dyDescent="0.25">
      <c r="A55" s="27">
        <v>45564</v>
      </c>
      <c r="B55" s="28">
        <v>0.66276620370370376</v>
      </c>
      <c r="C55">
        <v>2.976</v>
      </c>
      <c r="D55">
        <v>2.9929999999999999</v>
      </c>
      <c r="E55">
        <v>2.9710000000000001</v>
      </c>
      <c r="F55">
        <v>2.964</v>
      </c>
      <c r="G55">
        <v>2.9790000000000001</v>
      </c>
      <c r="H55">
        <v>2.9710000000000001</v>
      </c>
      <c r="I55">
        <v>3.01</v>
      </c>
      <c r="J55">
        <v>2.9780000000000002</v>
      </c>
      <c r="K55">
        <v>3.0129999999999999</v>
      </c>
      <c r="L55">
        <v>2.9889999999999999</v>
      </c>
      <c r="M55">
        <v>2.9849999999999999</v>
      </c>
      <c r="N55">
        <v>3</v>
      </c>
      <c r="O55" t="s">
        <v>46</v>
      </c>
      <c r="P55" t="s">
        <v>47</v>
      </c>
    </row>
    <row r="56" spans="1:16" x14ac:dyDescent="0.25">
      <c r="A56" s="27">
        <v>45564</v>
      </c>
      <c r="B56" s="28">
        <v>0.66398148148148151</v>
      </c>
      <c r="C56">
        <v>3.0009999999999999</v>
      </c>
      <c r="D56">
        <v>2.9929999999999999</v>
      </c>
      <c r="E56">
        <v>2.99</v>
      </c>
      <c r="F56">
        <v>2.9929999999999999</v>
      </c>
      <c r="G56">
        <v>2.99</v>
      </c>
      <c r="H56">
        <v>2.9780000000000002</v>
      </c>
      <c r="I56">
        <v>3.0009999999999999</v>
      </c>
      <c r="J56">
        <v>2.9809999999999999</v>
      </c>
      <c r="K56">
        <v>2.996</v>
      </c>
      <c r="L56">
        <v>3.0169999999999999</v>
      </c>
      <c r="M56">
        <v>3</v>
      </c>
      <c r="N56">
        <v>2.99</v>
      </c>
      <c r="O56" t="s">
        <v>46</v>
      </c>
      <c r="P56" t="s">
        <v>47</v>
      </c>
    </row>
    <row r="57" spans="1:16" x14ac:dyDescent="0.25">
      <c r="A57" s="27">
        <v>45564</v>
      </c>
      <c r="B57" s="28">
        <v>0.66519675925925925</v>
      </c>
      <c r="C57">
        <v>3.0059999999999998</v>
      </c>
      <c r="D57">
        <v>3.008</v>
      </c>
      <c r="E57">
        <v>3.0070000000000001</v>
      </c>
      <c r="F57">
        <v>2.9780000000000002</v>
      </c>
      <c r="G57">
        <v>3.004</v>
      </c>
      <c r="H57">
        <v>3.028</v>
      </c>
      <c r="I57">
        <v>2.9910000000000001</v>
      </c>
      <c r="J57">
        <v>3.0329999999999999</v>
      </c>
      <c r="K57">
        <v>3.0190000000000001</v>
      </c>
      <c r="L57">
        <v>2.9889999999999999</v>
      </c>
      <c r="M57">
        <v>3.0139999999999998</v>
      </c>
      <c r="N57">
        <v>3.02</v>
      </c>
      <c r="O57" t="s">
        <v>46</v>
      </c>
      <c r="P57" t="s">
        <v>47</v>
      </c>
    </row>
    <row r="58" spans="1:16" x14ac:dyDescent="0.25">
      <c r="A58" s="27">
        <v>45564</v>
      </c>
      <c r="B58" s="28">
        <v>0.66641203703703711</v>
      </c>
      <c r="C58">
        <v>2.9889999999999999</v>
      </c>
      <c r="D58">
        <v>2.992</v>
      </c>
      <c r="E58">
        <v>3.0070000000000001</v>
      </c>
      <c r="F58">
        <v>2.956</v>
      </c>
      <c r="G58">
        <v>2.9950000000000001</v>
      </c>
      <c r="H58">
        <v>3.0009999999999999</v>
      </c>
      <c r="I58">
        <v>2.996</v>
      </c>
      <c r="J58">
        <v>3.032</v>
      </c>
      <c r="K58">
        <v>2.9940000000000002</v>
      </c>
      <c r="L58">
        <v>3.0129999999999999</v>
      </c>
      <c r="M58">
        <v>2.996</v>
      </c>
      <c r="N58">
        <v>3</v>
      </c>
      <c r="O58" t="s">
        <v>46</v>
      </c>
      <c r="P58" t="s">
        <v>47</v>
      </c>
    </row>
    <row r="59" spans="1:16" x14ac:dyDescent="0.25">
      <c r="A59" s="27">
        <v>45564</v>
      </c>
      <c r="B59" s="28">
        <v>0.66762731481481474</v>
      </c>
      <c r="C59">
        <v>3.0179999999999998</v>
      </c>
      <c r="D59">
        <v>3.004</v>
      </c>
      <c r="E59">
        <v>3.0190000000000001</v>
      </c>
      <c r="F59">
        <v>3.0190000000000001</v>
      </c>
      <c r="G59">
        <v>3.0049999999999999</v>
      </c>
      <c r="H59">
        <v>3.0070000000000001</v>
      </c>
      <c r="I59">
        <v>2.9849999999999999</v>
      </c>
      <c r="J59">
        <v>2.9510000000000001</v>
      </c>
      <c r="K59">
        <v>2.9790000000000001</v>
      </c>
      <c r="L59">
        <v>2.9830000000000001</v>
      </c>
      <c r="M59">
        <v>2.976</v>
      </c>
      <c r="N59">
        <v>2.968</v>
      </c>
      <c r="O59" t="s">
        <v>46</v>
      </c>
      <c r="P59" t="s">
        <v>47</v>
      </c>
    </row>
    <row r="60" spans="1:16" x14ac:dyDescent="0.25">
      <c r="A60" s="27">
        <v>45564</v>
      </c>
      <c r="B60" s="28">
        <v>0.66900462962962959</v>
      </c>
      <c r="C60">
        <v>3.0190000000000001</v>
      </c>
      <c r="D60">
        <v>3.0129999999999999</v>
      </c>
      <c r="E60">
        <v>3.0209999999999999</v>
      </c>
      <c r="F60">
        <v>3.0190000000000001</v>
      </c>
      <c r="G60">
        <v>3.0219999999999998</v>
      </c>
      <c r="H60">
        <v>3.004</v>
      </c>
      <c r="I60">
        <v>3</v>
      </c>
      <c r="J60">
        <v>2.9830000000000001</v>
      </c>
      <c r="K60">
        <v>2.9889999999999999</v>
      </c>
      <c r="L60">
        <v>3</v>
      </c>
      <c r="M60">
        <v>3.0049999999999999</v>
      </c>
      <c r="N60">
        <v>2.9950000000000001</v>
      </c>
      <c r="O60" t="s">
        <v>46</v>
      </c>
      <c r="P60" t="s">
        <v>47</v>
      </c>
    </row>
    <row r="61" spans="1:16" x14ac:dyDescent="0.25">
      <c r="A61" s="27">
        <v>45564</v>
      </c>
      <c r="B61" s="28">
        <v>0.67021990740740733</v>
      </c>
      <c r="C61">
        <v>2.9849999999999999</v>
      </c>
      <c r="D61">
        <v>3.0030000000000001</v>
      </c>
      <c r="E61">
        <v>3.0139999999999998</v>
      </c>
      <c r="F61">
        <v>3.0169999999999999</v>
      </c>
      <c r="G61">
        <v>3.01</v>
      </c>
      <c r="H61">
        <v>2.9830000000000001</v>
      </c>
      <c r="I61">
        <v>3.0179999999999998</v>
      </c>
      <c r="J61">
        <v>2.996</v>
      </c>
      <c r="K61">
        <v>3.0230000000000001</v>
      </c>
      <c r="L61">
        <v>2.9940000000000002</v>
      </c>
      <c r="M61">
        <v>3.0139999999999998</v>
      </c>
      <c r="N61">
        <v>3.0009999999999999</v>
      </c>
      <c r="O61" t="s">
        <v>46</v>
      </c>
      <c r="P61" t="s">
        <v>47</v>
      </c>
    </row>
    <row r="62" spans="1:16" x14ac:dyDescent="0.25">
      <c r="A62" s="27">
        <v>45564</v>
      </c>
      <c r="B62" s="28">
        <v>0.67143518518518519</v>
      </c>
      <c r="C62">
        <v>2.9929999999999999</v>
      </c>
      <c r="D62">
        <v>3.0169999999999999</v>
      </c>
      <c r="E62">
        <v>3.0110000000000001</v>
      </c>
      <c r="F62">
        <v>3.0019999999999998</v>
      </c>
      <c r="G62">
        <v>3.0019999999999998</v>
      </c>
      <c r="H62">
        <v>3.0139999999999998</v>
      </c>
      <c r="I62">
        <v>3.0009999999999999</v>
      </c>
      <c r="J62">
        <v>2.9929999999999999</v>
      </c>
      <c r="K62">
        <v>3.0049999999999999</v>
      </c>
      <c r="L62">
        <v>2.9849999999999999</v>
      </c>
      <c r="M62">
        <v>3.0070000000000001</v>
      </c>
      <c r="N62">
        <v>3.0030000000000001</v>
      </c>
      <c r="O62" t="s">
        <v>46</v>
      </c>
      <c r="P62" t="s">
        <v>47</v>
      </c>
    </row>
    <row r="63" spans="1:16" x14ac:dyDescent="0.25">
      <c r="A63" s="27">
        <v>45564</v>
      </c>
      <c r="B63" s="28">
        <v>0.67265046296296294</v>
      </c>
      <c r="C63">
        <v>3.016</v>
      </c>
      <c r="D63">
        <v>3.024</v>
      </c>
      <c r="E63">
        <v>2.9969999999999999</v>
      </c>
      <c r="F63">
        <v>3.012</v>
      </c>
      <c r="G63">
        <v>3.0339999999999998</v>
      </c>
      <c r="H63">
        <v>3.0430000000000001</v>
      </c>
      <c r="O63" t="s">
        <v>46</v>
      </c>
      <c r="P63" t="s">
        <v>47</v>
      </c>
    </row>
    <row r="64" spans="1:16" x14ac:dyDescent="0.25">
      <c r="A64" s="27">
        <v>45564</v>
      </c>
      <c r="B64" s="28">
        <v>0.67501157407407408</v>
      </c>
      <c r="C64">
        <v>2.9860000000000002</v>
      </c>
      <c r="D64">
        <v>2.9740000000000002</v>
      </c>
      <c r="E64">
        <v>2.9540000000000002</v>
      </c>
      <c r="F64">
        <v>2.9740000000000002</v>
      </c>
      <c r="G64">
        <v>3</v>
      </c>
      <c r="H64">
        <v>2.992</v>
      </c>
      <c r="I64">
        <v>2.9929999999999999</v>
      </c>
      <c r="J64">
        <v>2.988</v>
      </c>
      <c r="K64">
        <v>2.9870000000000001</v>
      </c>
      <c r="L64">
        <v>3.01</v>
      </c>
      <c r="M64">
        <v>3.004</v>
      </c>
      <c r="N64">
        <v>3.0230000000000001</v>
      </c>
      <c r="O64" t="s">
        <v>46</v>
      </c>
      <c r="P64" t="s">
        <v>47</v>
      </c>
    </row>
    <row r="65" spans="1:16" x14ac:dyDescent="0.25">
      <c r="A65" s="27">
        <v>45564</v>
      </c>
      <c r="B65" s="28">
        <v>0.67622685185185183</v>
      </c>
      <c r="C65">
        <v>3.0070000000000001</v>
      </c>
      <c r="D65">
        <v>2.9929999999999999</v>
      </c>
      <c r="E65">
        <v>2.9630000000000001</v>
      </c>
      <c r="F65">
        <v>2.9729999999999999</v>
      </c>
      <c r="G65">
        <v>2.9809999999999999</v>
      </c>
      <c r="H65">
        <v>3.0059999999999998</v>
      </c>
      <c r="I65">
        <v>2.9910000000000001</v>
      </c>
      <c r="J65">
        <v>2.9750000000000001</v>
      </c>
      <c r="K65">
        <v>2.97</v>
      </c>
      <c r="L65">
        <v>2.992</v>
      </c>
      <c r="M65">
        <v>2.9849999999999999</v>
      </c>
      <c r="N65">
        <v>2.9729999999999999</v>
      </c>
      <c r="O65" t="s">
        <v>46</v>
      </c>
      <c r="P65" t="s">
        <v>47</v>
      </c>
    </row>
    <row r="66" spans="1:16" x14ac:dyDescent="0.25">
      <c r="A66" s="27">
        <v>45564</v>
      </c>
      <c r="B66" s="28">
        <v>0.67744212962962969</v>
      </c>
      <c r="C66">
        <v>3.012</v>
      </c>
      <c r="D66">
        <v>2.9780000000000002</v>
      </c>
      <c r="E66">
        <v>2.9740000000000002</v>
      </c>
      <c r="F66">
        <v>2.9820000000000002</v>
      </c>
      <c r="G66">
        <v>3.0009999999999999</v>
      </c>
      <c r="H66">
        <v>3.0009999999999999</v>
      </c>
      <c r="I66">
        <v>3.0070000000000001</v>
      </c>
      <c r="J66">
        <v>3.0390000000000001</v>
      </c>
      <c r="K66">
        <v>3.01</v>
      </c>
      <c r="L66">
        <v>3.0350000000000001</v>
      </c>
      <c r="M66">
        <v>3.0129999999999999</v>
      </c>
      <c r="N66">
        <v>3</v>
      </c>
      <c r="O66" t="s">
        <v>46</v>
      </c>
      <c r="P66" t="s">
        <v>47</v>
      </c>
    </row>
    <row r="67" spans="1:16" x14ac:dyDescent="0.25">
      <c r="A67" s="27">
        <v>45564</v>
      </c>
      <c r="B67" s="28">
        <v>0.67865740740740732</v>
      </c>
      <c r="C67">
        <v>2.9849999999999999</v>
      </c>
      <c r="D67">
        <v>3.0019999999999998</v>
      </c>
      <c r="E67">
        <v>3.0059999999999998</v>
      </c>
      <c r="F67">
        <v>3.0019999999999998</v>
      </c>
      <c r="G67">
        <v>3.0179999999999998</v>
      </c>
      <c r="H67">
        <v>3.0030000000000001</v>
      </c>
      <c r="I67">
        <v>3.012</v>
      </c>
      <c r="J67">
        <v>3.0310000000000001</v>
      </c>
      <c r="K67">
        <v>3.0270000000000001</v>
      </c>
      <c r="L67">
        <v>3.01</v>
      </c>
      <c r="M67">
        <v>2.992</v>
      </c>
      <c r="N67">
        <v>2.996</v>
      </c>
      <c r="O67" t="s">
        <v>46</v>
      </c>
      <c r="P67" t="s">
        <v>47</v>
      </c>
    </row>
    <row r="68" spans="1:16" x14ac:dyDescent="0.25">
      <c r="A68" s="27">
        <v>45564</v>
      </c>
      <c r="B68" s="28">
        <v>0.67987268518518518</v>
      </c>
      <c r="C68">
        <v>2.97</v>
      </c>
      <c r="D68">
        <v>2.9990000000000001</v>
      </c>
      <c r="E68">
        <v>3.0139999999999998</v>
      </c>
      <c r="F68">
        <v>2.988</v>
      </c>
      <c r="G68">
        <v>2.9860000000000002</v>
      </c>
      <c r="H68">
        <v>3</v>
      </c>
      <c r="I68">
        <v>2.9929999999999999</v>
      </c>
      <c r="J68">
        <v>2.9780000000000002</v>
      </c>
      <c r="K68">
        <v>2.992</v>
      </c>
      <c r="L68">
        <v>3.0070000000000001</v>
      </c>
      <c r="M68">
        <v>3.008</v>
      </c>
      <c r="N68">
        <v>2.9950000000000001</v>
      </c>
      <c r="O68" t="s">
        <v>46</v>
      </c>
      <c r="P68" t="s">
        <v>47</v>
      </c>
    </row>
    <row r="69" spans="1:16" x14ac:dyDescent="0.25">
      <c r="A69" s="27">
        <v>45564</v>
      </c>
      <c r="B69" s="28">
        <v>0.68107638888888899</v>
      </c>
      <c r="C69">
        <v>2.996</v>
      </c>
      <c r="D69">
        <v>2.996</v>
      </c>
      <c r="E69">
        <v>2.9940000000000002</v>
      </c>
      <c r="F69">
        <v>2.9870000000000001</v>
      </c>
      <c r="G69">
        <v>2.996</v>
      </c>
      <c r="H69">
        <v>2.9790000000000001</v>
      </c>
      <c r="I69">
        <v>2.984</v>
      </c>
      <c r="J69">
        <v>2.9929999999999999</v>
      </c>
      <c r="K69">
        <v>2.992</v>
      </c>
      <c r="L69">
        <v>3.0209999999999999</v>
      </c>
      <c r="M69">
        <v>2.9950000000000001</v>
      </c>
      <c r="N69">
        <v>3.0089999999999999</v>
      </c>
      <c r="O69" t="s">
        <v>46</v>
      </c>
      <c r="P69" t="s">
        <v>47</v>
      </c>
    </row>
    <row r="70" spans="1:16" x14ac:dyDescent="0.25">
      <c r="A70" s="27">
        <v>45564</v>
      </c>
      <c r="B70" s="28">
        <v>0.68229166666666663</v>
      </c>
      <c r="C70">
        <v>3.0219999999999998</v>
      </c>
      <c r="D70">
        <v>3.0230000000000001</v>
      </c>
      <c r="E70">
        <v>3.024</v>
      </c>
      <c r="F70">
        <v>3.028</v>
      </c>
      <c r="G70">
        <v>3.0019999999999998</v>
      </c>
      <c r="H70">
        <v>2.996</v>
      </c>
      <c r="I70">
        <v>3.0259999999999998</v>
      </c>
      <c r="J70">
        <v>3.0209999999999999</v>
      </c>
      <c r="K70">
        <v>2.9809999999999999</v>
      </c>
      <c r="L70">
        <v>3.0009999999999999</v>
      </c>
      <c r="M70">
        <v>3.0070000000000001</v>
      </c>
      <c r="N70">
        <v>3.0110000000000001</v>
      </c>
      <c r="O70" t="s">
        <v>46</v>
      </c>
      <c r="P70" t="s">
        <v>47</v>
      </c>
    </row>
    <row r="71" spans="1:16" x14ac:dyDescent="0.25">
      <c r="A71" s="27">
        <v>45564</v>
      </c>
      <c r="B71" s="28">
        <v>0.68350694444444438</v>
      </c>
      <c r="C71">
        <v>2.98</v>
      </c>
      <c r="D71">
        <v>2.988</v>
      </c>
      <c r="E71">
        <v>2.9940000000000002</v>
      </c>
      <c r="F71">
        <v>3.008</v>
      </c>
      <c r="G71">
        <v>2.9870000000000001</v>
      </c>
      <c r="H71">
        <v>2.9969999999999999</v>
      </c>
      <c r="I71">
        <v>3.008</v>
      </c>
      <c r="J71">
        <v>2.9849999999999999</v>
      </c>
      <c r="K71">
        <v>2.9940000000000002</v>
      </c>
      <c r="L71">
        <v>2.9830000000000001</v>
      </c>
      <c r="M71">
        <v>2.98</v>
      </c>
      <c r="N71">
        <v>2.9820000000000002</v>
      </c>
      <c r="O71" t="s">
        <v>46</v>
      </c>
      <c r="P71" t="s">
        <v>47</v>
      </c>
    </row>
    <row r="72" spans="1:16" x14ac:dyDescent="0.25">
      <c r="A72" s="27">
        <v>45564</v>
      </c>
      <c r="B72" s="28">
        <v>0.68472222222222223</v>
      </c>
      <c r="C72">
        <v>2.972</v>
      </c>
      <c r="D72">
        <v>2.97</v>
      </c>
      <c r="E72">
        <v>2.9689999999999999</v>
      </c>
      <c r="F72">
        <v>3.0049999999999999</v>
      </c>
      <c r="G72">
        <v>3.0049999999999999</v>
      </c>
      <c r="H72">
        <v>2.9940000000000002</v>
      </c>
      <c r="I72">
        <v>2.9940000000000002</v>
      </c>
      <c r="J72">
        <v>2.9750000000000001</v>
      </c>
      <c r="K72">
        <v>2.9929999999999999</v>
      </c>
      <c r="L72">
        <v>3.0110000000000001</v>
      </c>
      <c r="M72">
        <v>2.988</v>
      </c>
      <c r="N72">
        <v>2.9910000000000001</v>
      </c>
      <c r="O72" t="s">
        <v>46</v>
      </c>
      <c r="P72" t="s">
        <v>47</v>
      </c>
    </row>
    <row r="73" spans="1:16" x14ac:dyDescent="0.25">
      <c r="A73" s="27">
        <v>45564</v>
      </c>
      <c r="B73" s="28">
        <v>0.68825231481481486</v>
      </c>
      <c r="I73">
        <v>2.9830000000000001</v>
      </c>
      <c r="J73">
        <v>2.9830000000000001</v>
      </c>
      <c r="K73">
        <v>2.9849999999999999</v>
      </c>
      <c r="L73">
        <v>2.964</v>
      </c>
      <c r="M73">
        <v>3.0110000000000001</v>
      </c>
      <c r="N73">
        <v>2.9990000000000001</v>
      </c>
      <c r="O73" t="s">
        <v>46</v>
      </c>
      <c r="P73" t="s">
        <v>47</v>
      </c>
    </row>
    <row r="74" spans="1:16" x14ac:dyDescent="0.25">
      <c r="A74" s="27">
        <v>45564</v>
      </c>
      <c r="B74" s="28">
        <v>0.68885416666666666</v>
      </c>
      <c r="C74">
        <v>3.0369999999999999</v>
      </c>
      <c r="D74">
        <v>3.0150000000000001</v>
      </c>
      <c r="E74">
        <v>2.9990000000000001</v>
      </c>
      <c r="F74">
        <v>3.008</v>
      </c>
      <c r="G74">
        <v>2.9910000000000001</v>
      </c>
      <c r="H74">
        <v>3.0139999999999998</v>
      </c>
      <c r="I74">
        <v>2.988</v>
      </c>
      <c r="J74">
        <v>3.0289999999999999</v>
      </c>
      <c r="K74">
        <v>2.9969999999999999</v>
      </c>
      <c r="L74">
        <v>2.9790000000000001</v>
      </c>
      <c r="M74">
        <v>3.004</v>
      </c>
      <c r="N74">
        <v>3</v>
      </c>
      <c r="O74" t="s">
        <v>46</v>
      </c>
      <c r="P74" t="s">
        <v>47</v>
      </c>
    </row>
    <row r="75" spans="1:16" x14ac:dyDescent="0.25">
      <c r="A75" s="27">
        <v>45564</v>
      </c>
      <c r="B75" s="28">
        <v>0.69025462962962969</v>
      </c>
      <c r="C75">
        <v>3.0179999999999998</v>
      </c>
      <c r="D75">
        <v>3.0070000000000001</v>
      </c>
      <c r="E75">
        <v>2.9950000000000001</v>
      </c>
      <c r="F75">
        <v>2.992</v>
      </c>
      <c r="G75">
        <v>2.9940000000000002</v>
      </c>
      <c r="H75">
        <v>3.0009999999999999</v>
      </c>
      <c r="I75">
        <v>3.0070000000000001</v>
      </c>
      <c r="J75">
        <v>3.0289999999999999</v>
      </c>
      <c r="K75">
        <v>3.028</v>
      </c>
      <c r="L75">
        <v>3.0190000000000001</v>
      </c>
      <c r="M75">
        <v>3.0259999999999998</v>
      </c>
      <c r="N75">
        <v>3.0139999999999998</v>
      </c>
      <c r="O75" t="s">
        <v>46</v>
      </c>
      <c r="P75" t="s">
        <v>47</v>
      </c>
    </row>
    <row r="76" spans="1:16" x14ac:dyDescent="0.25">
      <c r="A76" s="27">
        <v>45564</v>
      </c>
      <c r="B76" s="28">
        <v>0.69162037037037039</v>
      </c>
      <c r="C76">
        <v>2.9769999999999999</v>
      </c>
      <c r="D76">
        <v>3.0030000000000001</v>
      </c>
      <c r="E76">
        <v>2.9910000000000001</v>
      </c>
      <c r="F76">
        <v>2.9969999999999999</v>
      </c>
      <c r="G76">
        <v>3.0139999999999998</v>
      </c>
      <c r="H76">
        <v>2.992</v>
      </c>
      <c r="I76">
        <v>2.992</v>
      </c>
      <c r="J76">
        <v>2.9849999999999999</v>
      </c>
      <c r="K76">
        <v>2.9990000000000001</v>
      </c>
      <c r="L76">
        <v>2.9950000000000001</v>
      </c>
      <c r="M76">
        <v>2.9929999999999999</v>
      </c>
      <c r="N76">
        <v>3.0030000000000001</v>
      </c>
      <c r="O76" t="s">
        <v>46</v>
      </c>
      <c r="P76" t="s">
        <v>47</v>
      </c>
    </row>
    <row r="77" spans="1:16" x14ac:dyDescent="0.25">
      <c r="A77" s="27">
        <v>45564</v>
      </c>
      <c r="B77" s="28">
        <v>0.69283564814814813</v>
      </c>
      <c r="C77">
        <v>2.9910000000000001</v>
      </c>
      <c r="D77">
        <v>2.992</v>
      </c>
      <c r="E77">
        <v>2.9950000000000001</v>
      </c>
      <c r="F77">
        <v>2.988</v>
      </c>
      <c r="G77">
        <v>2.9940000000000002</v>
      </c>
      <c r="H77">
        <v>3.016</v>
      </c>
      <c r="I77">
        <v>3.0030000000000001</v>
      </c>
      <c r="J77">
        <v>2.9849999999999999</v>
      </c>
      <c r="K77">
        <v>3.0179999999999998</v>
      </c>
      <c r="L77">
        <v>2.9790000000000001</v>
      </c>
      <c r="M77">
        <v>3.0089999999999999</v>
      </c>
      <c r="N77">
        <v>3.008</v>
      </c>
      <c r="O77" t="s">
        <v>46</v>
      </c>
      <c r="P77" t="s">
        <v>47</v>
      </c>
    </row>
    <row r="78" spans="1:16" x14ac:dyDescent="0.25">
      <c r="A78" s="27">
        <v>45564</v>
      </c>
      <c r="B78" s="28">
        <v>0.69405092592592599</v>
      </c>
      <c r="C78">
        <v>3.0059999999999998</v>
      </c>
      <c r="D78">
        <v>3.0009999999999999</v>
      </c>
      <c r="E78">
        <v>2.9990000000000001</v>
      </c>
      <c r="F78">
        <v>3.0049999999999999</v>
      </c>
      <c r="G78">
        <v>2.9860000000000002</v>
      </c>
      <c r="H78">
        <v>2.9729999999999999</v>
      </c>
      <c r="I78">
        <v>3.008</v>
      </c>
      <c r="J78">
        <v>3.0059999999999998</v>
      </c>
      <c r="K78">
        <v>3.0089999999999999</v>
      </c>
      <c r="L78">
        <v>3.012</v>
      </c>
      <c r="M78">
        <v>3.0070000000000001</v>
      </c>
      <c r="N78">
        <v>3.0129999999999999</v>
      </c>
      <c r="O78" t="s">
        <v>46</v>
      </c>
      <c r="P78" t="s">
        <v>47</v>
      </c>
    </row>
    <row r="79" spans="1:16" x14ac:dyDescent="0.25">
      <c r="A79" s="27">
        <v>45564</v>
      </c>
      <c r="B79" s="28">
        <v>0.69526620370370373</v>
      </c>
      <c r="C79">
        <v>3.024</v>
      </c>
      <c r="D79">
        <v>3.0089999999999999</v>
      </c>
      <c r="E79">
        <v>3.0059999999999998</v>
      </c>
      <c r="F79">
        <v>3.0190000000000001</v>
      </c>
      <c r="G79">
        <v>3.01</v>
      </c>
      <c r="H79">
        <v>2.9969999999999999</v>
      </c>
      <c r="I79">
        <v>2.9940000000000002</v>
      </c>
      <c r="J79">
        <v>2.988</v>
      </c>
      <c r="K79">
        <v>2.99</v>
      </c>
      <c r="L79">
        <v>3.0190000000000001</v>
      </c>
      <c r="M79">
        <v>2.9769999999999999</v>
      </c>
      <c r="N79">
        <v>3.004</v>
      </c>
      <c r="O79" t="s">
        <v>46</v>
      </c>
      <c r="P79" t="s">
        <v>47</v>
      </c>
    </row>
    <row r="80" spans="1:16" x14ac:dyDescent="0.25">
      <c r="A80" s="27">
        <v>45564</v>
      </c>
      <c r="B80" s="28">
        <v>0.69648148148148137</v>
      </c>
      <c r="C80">
        <v>2.996</v>
      </c>
      <c r="D80">
        <v>3</v>
      </c>
      <c r="E80">
        <v>2.9969999999999999</v>
      </c>
      <c r="F80">
        <v>2.9870000000000001</v>
      </c>
      <c r="G80">
        <v>2.9940000000000002</v>
      </c>
      <c r="H80">
        <v>3.0009999999999999</v>
      </c>
      <c r="I80">
        <v>3.0059999999999998</v>
      </c>
      <c r="J80">
        <v>2.9849999999999999</v>
      </c>
      <c r="K80">
        <v>2.992</v>
      </c>
      <c r="L80">
        <v>2.9660000000000002</v>
      </c>
      <c r="M80">
        <v>2.98</v>
      </c>
      <c r="N80">
        <v>2.9940000000000002</v>
      </c>
      <c r="O80" t="s">
        <v>46</v>
      </c>
      <c r="P80" t="s">
        <v>47</v>
      </c>
    </row>
    <row r="81" spans="1:16" x14ac:dyDescent="0.25">
      <c r="A81" s="27">
        <v>45564</v>
      </c>
      <c r="B81" s="28">
        <v>0.70030092592592597</v>
      </c>
      <c r="I81">
        <v>3</v>
      </c>
      <c r="J81">
        <v>3.01</v>
      </c>
      <c r="K81">
        <v>2.9870000000000001</v>
      </c>
      <c r="L81">
        <v>2.996</v>
      </c>
      <c r="M81">
        <v>3.0179999999999998</v>
      </c>
      <c r="N81">
        <v>2.976</v>
      </c>
      <c r="O81" t="s">
        <v>46</v>
      </c>
      <c r="P81" t="s">
        <v>47</v>
      </c>
    </row>
    <row r="82" spans="1:16" x14ac:dyDescent="0.25">
      <c r="A82" s="27">
        <v>45564</v>
      </c>
      <c r="B82" s="28">
        <v>0.70090277777777776</v>
      </c>
      <c r="C82">
        <v>3.0030000000000001</v>
      </c>
      <c r="D82">
        <v>2.996</v>
      </c>
      <c r="E82">
        <v>2.9969999999999999</v>
      </c>
      <c r="F82">
        <v>2.9969999999999999</v>
      </c>
      <c r="G82">
        <v>3.0070000000000001</v>
      </c>
      <c r="H82">
        <v>3.0190000000000001</v>
      </c>
      <c r="I82">
        <v>2.9929999999999999</v>
      </c>
      <c r="J82">
        <v>3.0089999999999999</v>
      </c>
      <c r="K82">
        <v>2.99</v>
      </c>
      <c r="L82">
        <v>2.9860000000000002</v>
      </c>
      <c r="M82">
        <v>3.0129999999999999</v>
      </c>
      <c r="N82">
        <v>3.0019999999999998</v>
      </c>
      <c r="O82" t="s">
        <v>46</v>
      </c>
      <c r="P82" t="s">
        <v>47</v>
      </c>
    </row>
    <row r="83" spans="1:16" x14ac:dyDescent="0.25">
      <c r="A83" s="27">
        <v>45564</v>
      </c>
      <c r="B83" s="28">
        <v>0.76124999999999998</v>
      </c>
      <c r="C83">
        <v>3.004</v>
      </c>
      <c r="D83">
        <v>3.008</v>
      </c>
      <c r="E83">
        <v>3.0190000000000001</v>
      </c>
      <c r="F83">
        <v>3.008</v>
      </c>
      <c r="G83">
        <v>3.0209999999999999</v>
      </c>
      <c r="H83">
        <v>3.024</v>
      </c>
      <c r="I83">
        <v>2.9980000000000002</v>
      </c>
      <c r="J83">
        <v>3.02</v>
      </c>
      <c r="K83">
        <v>3.0379999999999998</v>
      </c>
      <c r="L83">
        <v>3.0009999999999999</v>
      </c>
      <c r="M83">
        <v>2.9969999999999999</v>
      </c>
      <c r="N83">
        <v>3.0219999999999998</v>
      </c>
      <c r="O83" t="s">
        <v>46</v>
      </c>
      <c r="P83" t="s">
        <v>47</v>
      </c>
    </row>
    <row r="84" spans="1:16" x14ac:dyDescent="0.25">
      <c r="A84" s="27">
        <v>45564</v>
      </c>
      <c r="B84" s="28">
        <v>0.7628125</v>
      </c>
      <c r="C84">
        <v>3.0019999999999998</v>
      </c>
      <c r="D84">
        <v>3.012</v>
      </c>
      <c r="E84">
        <v>3.024</v>
      </c>
      <c r="F84">
        <v>3.0150000000000001</v>
      </c>
      <c r="G84">
        <v>3.0339999999999998</v>
      </c>
      <c r="H84">
        <v>3.0350000000000001</v>
      </c>
      <c r="I84">
        <v>3.0339999999999998</v>
      </c>
      <c r="J84">
        <v>3.0059999999999998</v>
      </c>
      <c r="K84">
        <v>3.0390000000000001</v>
      </c>
      <c r="L84">
        <v>3.0070000000000001</v>
      </c>
      <c r="M84">
        <v>3.0049999999999999</v>
      </c>
      <c r="N84">
        <v>3.012</v>
      </c>
      <c r="O84" t="s">
        <v>46</v>
      </c>
      <c r="P84" t="s">
        <v>47</v>
      </c>
    </row>
    <row r="85" spans="1:16" x14ac:dyDescent="0.25">
      <c r="A85" s="27">
        <v>45564</v>
      </c>
      <c r="B85" s="28">
        <v>0.76506944444444447</v>
      </c>
      <c r="C85">
        <v>3.0259999999999998</v>
      </c>
      <c r="D85">
        <v>3.0190000000000001</v>
      </c>
      <c r="E85">
        <v>3.0049999999999999</v>
      </c>
      <c r="F85">
        <v>3.0179999999999998</v>
      </c>
      <c r="G85">
        <v>3.02</v>
      </c>
      <c r="H85">
        <v>3.0270000000000001</v>
      </c>
      <c r="O85" t="s">
        <v>46</v>
      </c>
      <c r="P85" t="s">
        <v>47</v>
      </c>
    </row>
    <row r="86" spans="1:16" x14ac:dyDescent="0.25">
      <c r="A86" s="27">
        <v>45564</v>
      </c>
      <c r="B86" s="28">
        <v>0.77141203703703709</v>
      </c>
      <c r="C86">
        <v>3.02</v>
      </c>
      <c r="D86">
        <v>3.0070000000000001</v>
      </c>
      <c r="E86">
        <v>2.9980000000000002</v>
      </c>
      <c r="F86">
        <v>3.0249999999999999</v>
      </c>
      <c r="G86">
        <v>2.9940000000000002</v>
      </c>
      <c r="H86">
        <v>3.024</v>
      </c>
      <c r="I86">
        <v>3.0259999999999998</v>
      </c>
      <c r="J86">
        <v>3.0110000000000001</v>
      </c>
      <c r="K86">
        <v>3.044</v>
      </c>
      <c r="L86">
        <v>3.0259999999999998</v>
      </c>
      <c r="M86">
        <v>3.0190000000000001</v>
      </c>
      <c r="N86">
        <v>3.0129999999999999</v>
      </c>
      <c r="O86" t="s">
        <v>46</v>
      </c>
      <c r="P86" t="s">
        <v>47</v>
      </c>
    </row>
    <row r="87" spans="1:16" x14ac:dyDescent="0.25">
      <c r="A87" s="27">
        <v>45564</v>
      </c>
      <c r="B87" s="28">
        <v>0.77262731481481473</v>
      </c>
      <c r="C87">
        <v>3.0030000000000001</v>
      </c>
      <c r="D87">
        <v>3.0059999999999998</v>
      </c>
      <c r="E87">
        <v>3.004</v>
      </c>
      <c r="F87">
        <v>2.988</v>
      </c>
      <c r="G87">
        <v>2.9910000000000001</v>
      </c>
      <c r="H87">
        <v>2.9849999999999999</v>
      </c>
      <c r="I87">
        <v>3.0329999999999999</v>
      </c>
      <c r="J87">
        <v>3.0179999999999998</v>
      </c>
      <c r="K87">
        <v>3.0249999999999999</v>
      </c>
      <c r="L87">
        <v>3.0070000000000001</v>
      </c>
      <c r="M87">
        <v>3.0310000000000001</v>
      </c>
      <c r="N87">
        <v>2.9990000000000001</v>
      </c>
      <c r="O87" t="s">
        <v>46</v>
      </c>
      <c r="P87" t="s">
        <v>47</v>
      </c>
    </row>
    <row r="88" spans="1:16" x14ac:dyDescent="0.25">
      <c r="A88" s="27">
        <v>45564</v>
      </c>
      <c r="B88" s="28">
        <v>0.77384259259259258</v>
      </c>
      <c r="C88">
        <v>2.99</v>
      </c>
      <c r="D88">
        <v>3.0169999999999999</v>
      </c>
      <c r="E88">
        <v>3.0219999999999998</v>
      </c>
      <c r="F88">
        <v>2.992</v>
      </c>
      <c r="G88">
        <v>3.0209999999999999</v>
      </c>
      <c r="H88">
        <v>2.9849999999999999</v>
      </c>
      <c r="I88">
        <v>2.99</v>
      </c>
      <c r="J88">
        <v>2.9870000000000001</v>
      </c>
      <c r="K88">
        <v>2.9889999999999999</v>
      </c>
      <c r="L88">
        <v>2.9660000000000002</v>
      </c>
      <c r="M88">
        <v>2.976</v>
      </c>
      <c r="N88">
        <v>2.9830000000000001</v>
      </c>
      <c r="O88" t="s">
        <v>46</v>
      </c>
      <c r="P88" t="s">
        <v>47</v>
      </c>
    </row>
    <row r="89" spans="1:16" x14ac:dyDescent="0.25">
      <c r="A89" s="27">
        <v>45564</v>
      </c>
      <c r="B89" s="28">
        <v>0.77505787037037033</v>
      </c>
      <c r="C89">
        <v>3.0110000000000001</v>
      </c>
      <c r="D89">
        <v>3.0089999999999999</v>
      </c>
      <c r="E89">
        <v>3.0009999999999999</v>
      </c>
      <c r="F89">
        <v>3.0209999999999999</v>
      </c>
      <c r="G89">
        <v>3.0019999999999998</v>
      </c>
      <c r="H89">
        <v>2.9929999999999999</v>
      </c>
      <c r="I89">
        <v>3</v>
      </c>
      <c r="J89">
        <v>2.9929999999999999</v>
      </c>
      <c r="K89">
        <v>2.9849999999999999</v>
      </c>
      <c r="L89">
        <v>2.9710000000000001</v>
      </c>
      <c r="M89">
        <v>2.984</v>
      </c>
      <c r="N89">
        <v>3.0019999999999998</v>
      </c>
      <c r="O89" t="s">
        <v>46</v>
      </c>
      <c r="P89" t="s">
        <v>47</v>
      </c>
    </row>
    <row r="90" spans="1:16" x14ac:dyDescent="0.25">
      <c r="A90" s="27">
        <v>45564</v>
      </c>
      <c r="B90" s="28">
        <v>0.77627314814814818</v>
      </c>
      <c r="C90">
        <v>2.9990000000000001</v>
      </c>
      <c r="D90">
        <v>2.9940000000000002</v>
      </c>
      <c r="E90">
        <v>2.9860000000000002</v>
      </c>
      <c r="F90">
        <v>3.0110000000000001</v>
      </c>
      <c r="G90">
        <v>3.0139999999999998</v>
      </c>
      <c r="H90">
        <v>3.0009999999999999</v>
      </c>
      <c r="I90">
        <v>3.0019999999999998</v>
      </c>
      <c r="J90">
        <v>2.9940000000000002</v>
      </c>
      <c r="K90">
        <v>2.97</v>
      </c>
      <c r="L90">
        <v>2.9590000000000001</v>
      </c>
      <c r="M90">
        <v>2.992</v>
      </c>
      <c r="N90">
        <v>2.99</v>
      </c>
      <c r="O90" t="s">
        <v>46</v>
      </c>
      <c r="P90" t="s">
        <v>47</v>
      </c>
    </row>
    <row r="91" spans="1:16" x14ac:dyDescent="0.25">
      <c r="A91" s="27">
        <v>45564</v>
      </c>
      <c r="B91" s="28">
        <v>0.77858796296296295</v>
      </c>
      <c r="C91">
        <v>2.9750000000000001</v>
      </c>
      <c r="D91">
        <v>2.9689999999999999</v>
      </c>
      <c r="E91">
        <v>3.0089999999999999</v>
      </c>
      <c r="F91">
        <v>2.96</v>
      </c>
      <c r="G91">
        <v>2.9889999999999999</v>
      </c>
      <c r="H91">
        <v>2.9889999999999999</v>
      </c>
      <c r="I91">
        <v>3.0459999999999998</v>
      </c>
      <c r="J91">
        <v>3.0289999999999999</v>
      </c>
      <c r="K91">
        <v>3.0419999999999998</v>
      </c>
      <c r="L91">
        <v>3.0489999999999999</v>
      </c>
      <c r="M91">
        <v>3.052</v>
      </c>
      <c r="N91">
        <v>3.0569999999999999</v>
      </c>
      <c r="O91" t="s">
        <v>46</v>
      </c>
      <c r="P91" t="s">
        <v>47</v>
      </c>
    </row>
    <row r="92" spans="1:16" x14ac:dyDescent="0.25">
      <c r="A92" s="27">
        <v>45564</v>
      </c>
      <c r="B92" s="28">
        <v>0.78947916666666673</v>
      </c>
      <c r="I92">
        <v>2.9849999999999999</v>
      </c>
      <c r="J92">
        <v>3.0129999999999999</v>
      </c>
      <c r="K92">
        <v>2.9990000000000001</v>
      </c>
      <c r="L92">
        <v>3.0030000000000001</v>
      </c>
      <c r="M92">
        <v>3.0249999999999999</v>
      </c>
      <c r="N92">
        <v>3</v>
      </c>
      <c r="O92" t="s">
        <v>46</v>
      </c>
      <c r="P92" t="s">
        <v>47</v>
      </c>
    </row>
    <row r="93" spans="1:16" x14ac:dyDescent="0.25">
      <c r="A93" s="27">
        <v>45564</v>
      </c>
      <c r="B93" s="28">
        <v>0.79009259259259268</v>
      </c>
      <c r="C93">
        <v>2.9820000000000002</v>
      </c>
      <c r="D93">
        <v>2.9790000000000001</v>
      </c>
      <c r="E93">
        <v>2.988</v>
      </c>
      <c r="F93">
        <v>2.9790000000000001</v>
      </c>
      <c r="G93">
        <v>2.9889999999999999</v>
      </c>
      <c r="H93">
        <v>2.992</v>
      </c>
      <c r="I93">
        <v>3.004</v>
      </c>
      <c r="J93">
        <v>2.9620000000000002</v>
      </c>
      <c r="K93">
        <v>2.9980000000000002</v>
      </c>
      <c r="L93">
        <v>3.0139999999999998</v>
      </c>
      <c r="M93">
        <v>3.0289999999999999</v>
      </c>
      <c r="N93">
        <v>3.0089999999999999</v>
      </c>
      <c r="O93" t="s">
        <v>46</v>
      </c>
      <c r="P93" t="s">
        <v>47</v>
      </c>
    </row>
    <row r="94" spans="1:16" x14ac:dyDescent="0.25">
      <c r="A94" s="27">
        <v>45564</v>
      </c>
      <c r="B94" s="28">
        <v>0.79130787037037031</v>
      </c>
      <c r="C94">
        <v>3.0129999999999999</v>
      </c>
      <c r="D94">
        <v>3.0009999999999999</v>
      </c>
      <c r="E94">
        <v>3.0070000000000001</v>
      </c>
      <c r="F94">
        <v>2.9980000000000002</v>
      </c>
      <c r="G94">
        <v>2.9910000000000001</v>
      </c>
      <c r="H94">
        <v>3.01</v>
      </c>
      <c r="I94">
        <v>3.0219999999999998</v>
      </c>
      <c r="J94">
        <v>2.9849999999999999</v>
      </c>
      <c r="K94">
        <v>3.0129999999999999</v>
      </c>
      <c r="L94">
        <v>3.0019999999999998</v>
      </c>
      <c r="M94">
        <v>2.9860000000000002</v>
      </c>
      <c r="N94">
        <v>3.0019999999999998</v>
      </c>
      <c r="O94" t="s">
        <v>46</v>
      </c>
      <c r="P94" t="s">
        <v>47</v>
      </c>
    </row>
    <row r="95" spans="1:16" x14ac:dyDescent="0.25">
      <c r="A95" s="27">
        <v>45564</v>
      </c>
      <c r="B95" s="28">
        <v>0.79252314814814817</v>
      </c>
      <c r="C95">
        <v>3.016</v>
      </c>
      <c r="D95">
        <v>3.0070000000000001</v>
      </c>
      <c r="E95">
        <v>2.996</v>
      </c>
      <c r="F95">
        <v>3.0070000000000001</v>
      </c>
      <c r="G95">
        <v>3.0009999999999999</v>
      </c>
      <c r="H95">
        <v>2.984</v>
      </c>
      <c r="I95">
        <v>2.992</v>
      </c>
      <c r="J95">
        <v>2.9790000000000001</v>
      </c>
      <c r="K95">
        <v>2.984</v>
      </c>
      <c r="L95">
        <v>2.98</v>
      </c>
      <c r="M95">
        <v>2.9769999999999999</v>
      </c>
      <c r="N95">
        <v>2.9950000000000001</v>
      </c>
      <c r="O95" t="s">
        <v>46</v>
      </c>
      <c r="P95" t="s">
        <v>47</v>
      </c>
    </row>
    <row r="96" spans="1:16" x14ac:dyDescent="0.25">
      <c r="A96" s="27">
        <v>45564</v>
      </c>
      <c r="B96" s="28">
        <v>0.79372685185185177</v>
      </c>
      <c r="C96">
        <v>3.0179999999999998</v>
      </c>
      <c r="D96">
        <v>2.9980000000000002</v>
      </c>
      <c r="E96">
        <v>3.03</v>
      </c>
      <c r="F96">
        <v>3.01</v>
      </c>
      <c r="G96">
        <v>3.0030000000000001</v>
      </c>
      <c r="H96">
        <v>2.9910000000000001</v>
      </c>
      <c r="I96">
        <v>2.972</v>
      </c>
      <c r="J96">
        <v>2.9569999999999999</v>
      </c>
      <c r="K96">
        <v>2.9889999999999999</v>
      </c>
      <c r="L96">
        <v>2.99</v>
      </c>
      <c r="M96">
        <v>2.9849999999999999</v>
      </c>
      <c r="N96">
        <v>2.9769999999999999</v>
      </c>
      <c r="O96" t="s">
        <v>46</v>
      </c>
      <c r="P96" t="s">
        <v>47</v>
      </c>
    </row>
    <row r="97" spans="1:16" x14ac:dyDescent="0.25">
      <c r="A97" s="27">
        <v>45564</v>
      </c>
      <c r="B97" s="28">
        <v>0.79494212962962962</v>
      </c>
      <c r="C97">
        <v>3.0070000000000001</v>
      </c>
      <c r="D97">
        <v>3.02</v>
      </c>
      <c r="E97">
        <v>3.0070000000000001</v>
      </c>
      <c r="F97">
        <v>3.012</v>
      </c>
      <c r="G97">
        <v>3.0049999999999999</v>
      </c>
      <c r="H97">
        <v>3.0049999999999999</v>
      </c>
      <c r="I97">
        <v>3.0030000000000001</v>
      </c>
      <c r="J97">
        <v>2.9780000000000002</v>
      </c>
      <c r="K97">
        <v>2.9670000000000001</v>
      </c>
      <c r="L97">
        <v>2.9910000000000001</v>
      </c>
      <c r="M97">
        <v>2.9780000000000002</v>
      </c>
      <c r="N97">
        <v>2.9790000000000001</v>
      </c>
      <c r="O97" t="s">
        <v>46</v>
      </c>
      <c r="P97" t="s">
        <v>47</v>
      </c>
    </row>
    <row r="98" spans="1:16" x14ac:dyDescent="0.25">
      <c r="A98" s="27">
        <v>45564</v>
      </c>
      <c r="B98" s="28">
        <v>0.79615740740740737</v>
      </c>
      <c r="C98">
        <v>3.0070000000000001</v>
      </c>
      <c r="D98">
        <v>3.0009999999999999</v>
      </c>
      <c r="E98">
        <v>2.9580000000000002</v>
      </c>
      <c r="F98">
        <v>3.0110000000000001</v>
      </c>
      <c r="G98">
        <v>2.9929999999999999</v>
      </c>
      <c r="H98">
        <v>3.0089999999999999</v>
      </c>
      <c r="O98" t="s">
        <v>50</v>
      </c>
      <c r="P98" t="s">
        <v>47</v>
      </c>
    </row>
    <row r="99" spans="1:16" x14ac:dyDescent="0.25">
      <c r="A99" s="27">
        <v>45564</v>
      </c>
      <c r="B99" s="28">
        <v>0.80034722222222221</v>
      </c>
      <c r="I99">
        <v>2.9929999999999999</v>
      </c>
      <c r="J99">
        <v>2.9689999999999999</v>
      </c>
      <c r="K99">
        <v>2.984</v>
      </c>
      <c r="L99">
        <v>2.9540000000000002</v>
      </c>
      <c r="M99">
        <v>2.9889999999999999</v>
      </c>
      <c r="N99">
        <v>3.0169999999999999</v>
      </c>
      <c r="O99" t="s">
        <v>46</v>
      </c>
      <c r="P99" t="s">
        <v>47</v>
      </c>
    </row>
    <row r="100" spans="1:16" x14ac:dyDescent="0.25">
      <c r="A100" s="27">
        <v>45564</v>
      </c>
      <c r="B100" s="28">
        <v>0.80104166666666676</v>
      </c>
      <c r="C100">
        <v>2.9390000000000001</v>
      </c>
      <c r="D100">
        <v>2.9409999999999998</v>
      </c>
      <c r="E100">
        <v>2.923</v>
      </c>
      <c r="F100">
        <v>2.9470000000000001</v>
      </c>
      <c r="G100">
        <v>2.9409999999999998</v>
      </c>
      <c r="H100">
        <v>2.9649999999999999</v>
      </c>
      <c r="I100">
        <v>3.0289999999999999</v>
      </c>
      <c r="J100">
        <v>3.044</v>
      </c>
      <c r="K100">
        <v>3.0249999999999999</v>
      </c>
      <c r="L100">
        <v>3.0150000000000001</v>
      </c>
      <c r="M100">
        <v>3.0070000000000001</v>
      </c>
      <c r="N100">
        <v>3.0310000000000001</v>
      </c>
      <c r="O100" t="s">
        <v>46</v>
      </c>
      <c r="P100" t="s">
        <v>47</v>
      </c>
    </row>
    <row r="101" spans="1:16" x14ac:dyDescent="0.25">
      <c r="A101" s="27">
        <v>45564</v>
      </c>
      <c r="B101" s="28">
        <v>0.8022569444444444</v>
      </c>
      <c r="C101">
        <v>2.9510000000000001</v>
      </c>
      <c r="D101">
        <v>2.9809999999999999</v>
      </c>
      <c r="E101">
        <v>2.984</v>
      </c>
      <c r="F101">
        <v>2.9460000000000002</v>
      </c>
      <c r="G101">
        <v>2.988</v>
      </c>
      <c r="H101">
        <v>2.984</v>
      </c>
      <c r="I101">
        <v>3.0209999999999999</v>
      </c>
      <c r="J101">
        <v>3.032</v>
      </c>
      <c r="K101">
        <v>3.0219999999999998</v>
      </c>
      <c r="L101">
        <v>3.03</v>
      </c>
      <c r="M101">
        <v>3.0049999999999999</v>
      </c>
      <c r="N101">
        <v>2.9969999999999999</v>
      </c>
      <c r="O101" t="s">
        <v>46</v>
      </c>
      <c r="P101" t="s">
        <v>47</v>
      </c>
    </row>
    <row r="102" spans="1:16" x14ac:dyDescent="0.25">
      <c r="A102" s="27">
        <v>45564</v>
      </c>
      <c r="B102" s="28">
        <v>0.80347222222222225</v>
      </c>
      <c r="C102">
        <v>2.9540000000000002</v>
      </c>
      <c r="D102">
        <v>2.9790000000000001</v>
      </c>
      <c r="E102">
        <v>2.9870000000000001</v>
      </c>
      <c r="F102">
        <v>2.9670000000000001</v>
      </c>
      <c r="G102">
        <v>2.9849999999999999</v>
      </c>
      <c r="H102">
        <v>2.9710000000000001</v>
      </c>
      <c r="I102">
        <v>2.98</v>
      </c>
      <c r="J102">
        <v>2.99</v>
      </c>
      <c r="K102">
        <v>2.9860000000000002</v>
      </c>
      <c r="L102">
        <v>2.9790000000000001</v>
      </c>
      <c r="M102">
        <v>3.0009999999999999</v>
      </c>
      <c r="N102">
        <v>2.964</v>
      </c>
      <c r="O102" t="s">
        <v>46</v>
      </c>
      <c r="P102" t="s">
        <v>47</v>
      </c>
    </row>
    <row r="103" spans="1:16" x14ac:dyDescent="0.25">
      <c r="A103" s="27">
        <v>45564</v>
      </c>
      <c r="B103" s="28">
        <v>0.8046875</v>
      </c>
      <c r="C103">
        <v>3.0219999999999998</v>
      </c>
      <c r="D103">
        <v>3.0049999999999999</v>
      </c>
      <c r="E103">
        <v>3.0190000000000001</v>
      </c>
      <c r="F103">
        <v>3.016</v>
      </c>
      <c r="G103">
        <v>3.0110000000000001</v>
      </c>
      <c r="H103">
        <v>3.012</v>
      </c>
      <c r="I103">
        <v>2.9780000000000002</v>
      </c>
      <c r="J103">
        <v>2.9860000000000002</v>
      </c>
      <c r="K103">
        <v>2.9729999999999999</v>
      </c>
      <c r="L103">
        <v>3.004</v>
      </c>
      <c r="M103">
        <v>3.0049999999999999</v>
      </c>
      <c r="N103">
        <v>2.9889999999999999</v>
      </c>
      <c r="O103" t="s">
        <v>46</v>
      </c>
      <c r="P103" t="s">
        <v>47</v>
      </c>
    </row>
    <row r="104" spans="1:16" x14ac:dyDescent="0.25">
      <c r="A104" s="27">
        <v>45564</v>
      </c>
      <c r="B104" s="28">
        <v>0.80590277777777775</v>
      </c>
      <c r="C104">
        <v>3.0329999999999999</v>
      </c>
      <c r="D104">
        <v>2.99</v>
      </c>
      <c r="E104">
        <v>3.0209999999999999</v>
      </c>
      <c r="F104">
        <v>3.0150000000000001</v>
      </c>
      <c r="G104">
        <v>2.992</v>
      </c>
      <c r="H104">
        <v>3.0059999999999998</v>
      </c>
      <c r="I104">
        <v>3</v>
      </c>
      <c r="J104">
        <v>3.0049999999999999</v>
      </c>
      <c r="K104">
        <v>3.0219999999999998</v>
      </c>
      <c r="L104">
        <v>3.0129999999999999</v>
      </c>
      <c r="M104">
        <v>3.004</v>
      </c>
      <c r="N104">
        <v>2.9990000000000001</v>
      </c>
      <c r="O104" t="s">
        <v>46</v>
      </c>
      <c r="P104" t="s">
        <v>47</v>
      </c>
    </row>
    <row r="105" spans="1:16" x14ac:dyDescent="0.25">
      <c r="A105" s="27">
        <v>45564</v>
      </c>
      <c r="B105" s="28">
        <v>0.8071180555555556</v>
      </c>
      <c r="C105">
        <v>2.9910000000000001</v>
      </c>
      <c r="D105">
        <v>2.9940000000000002</v>
      </c>
      <c r="E105">
        <v>3.0129999999999999</v>
      </c>
      <c r="F105">
        <v>2.9910000000000001</v>
      </c>
      <c r="G105">
        <v>3.0059999999999998</v>
      </c>
      <c r="H105">
        <v>3.0089999999999999</v>
      </c>
      <c r="I105">
        <v>3.0019999999999998</v>
      </c>
      <c r="J105">
        <v>3.0139999999999998</v>
      </c>
      <c r="K105">
        <v>3.016</v>
      </c>
      <c r="L105">
        <v>3.0019999999999998</v>
      </c>
      <c r="M105">
        <v>2.9889999999999999</v>
      </c>
      <c r="N105">
        <v>2.9990000000000001</v>
      </c>
      <c r="O105" t="s">
        <v>46</v>
      </c>
      <c r="P105" t="s">
        <v>47</v>
      </c>
    </row>
    <row r="106" spans="1:16" x14ac:dyDescent="0.25">
      <c r="A106" s="27">
        <v>45564</v>
      </c>
      <c r="B106" s="28">
        <v>0.80833333333333324</v>
      </c>
      <c r="C106">
        <v>2.9830000000000001</v>
      </c>
      <c r="D106">
        <v>3.0089999999999999</v>
      </c>
      <c r="E106">
        <v>2.9889999999999999</v>
      </c>
      <c r="F106">
        <v>2.9830000000000001</v>
      </c>
      <c r="G106">
        <v>3.0070000000000001</v>
      </c>
      <c r="H106">
        <v>3.004</v>
      </c>
      <c r="O106" t="s">
        <v>46</v>
      </c>
      <c r="P106" t="s">
        <v>47</v>
      </c>
    </row>
    <row r="107" spans="1:16" x14ac:dyDescent="0.25">
      <c r="A107" s="27">
        <v>45564</v>
      </c>
      <c r="B107" s="28">
        <v>0.80982638888888892</v>
      </c>
      <c r="C107">
        <v>3.0059999999999998</v>
      </c>
      <c r="D107">
        <v>2.9790000000000001</v>
      </c>
      <c r="E107">
        <v>2.9870000000000001</v>
      </c>
      <c r="F107">
        <v>2.9849999999999999</v>
      </c>
      <c r="G107">
        <v>2.98</v>
      </c>
      <c r="H107">
        <v>2.996</v>
      </c>
      <c r="I107">
        <v>3.0089999999999999</v>
      </c>
      <c r="J107">
        <v>2.9860000000000002</v>
      </c>
      <c r="K107">
        <v>2.976</v>
      </c>
      <c r="L107">
        <v>2.996</v>
      </c>
      <c r="M107">
        <v>2.9889999999999999</v>
      </c>
      <c r="N107">
        <v>2.9950000000000001</v>
      </c>
      <c r="O107" t="s">
        <v>46</v>
      </c>
      <c r="P107" t="s">
        <v>47</v>
      </c>
    </row>
    <row r="108" spans="1:16" x14ac:dyDescent="0.25">
      <c r="A108" s="27">
        <v>45564</v>
      </c>
      <c r="B108" s="28">
        <v>0.81119212962962972</v>
      </c>
      <c r="C108">
        <v>2.988</v>
      </c>
      <c r="D108">
        <v>2.9969999999999999</v>
      </c>
      <c r="E108">
        <v>2.9990000000000001</v>
      </c>
      <c r="F108">
        <v>3.0019999999999998</v>
      </c>
      <c r="G108">
        <v>3.0049999999999999</v>
      </c>
      <c r="H108">
        <v>2.9790000000000001</v>
      </c>
      <c r="O108" t="s">
        <v>46</v>
      </c>
      <c r="P108" t="s">
        <v>47</v>
      </c>
    </row>
    <row r="109" spans="1:16" x14ac:dyDescent="0.25">
      <c r="A109" s="27">
        <v>45564</v>
      </c>
      <c r="B109" s="28">
        <v>0.81261574074074072</v>
      </c>
      <c r="C109">
        <v>3.0059999999999998</v>
      </c>
      <c r="D109">
        <v>2.992</v>
      </c>
      <c r="E109">
        <v>2.9820000000000002</v>
      </c>
      <c r="F109">
        <v>3.0009999999999999</v>
      </c>
      <c r="G109">
        <v>2.9929999999999999</v>
      </c>
      <c r="H109">
        <v>2.9849999999999999</v>
      </c>
      <c r="I109">
        <v>2.9940000000000002</v>
      </c>
      <c r="J109">
        <v>2.976</v>
      </c>
      <c r="K109">
        <v>3</v>
      </c>
      <c r="L109">
        <v>2.9809999999999999</v>
      </c>
      <c r="M109">
        <v>3.0139999999999998</v>
      </c>
      <c r="N109">
        <v>2.9849999999999999</v>
      </c>
      <c r="O109" t="s">
        <v>46</v>
      </c>
      <c r="P109" t="s">
        <v>47</v>
      </c>
    </row>
    <row r="110" spans="1:16" x14ac:dyDescent="0.25">
      <c r="A110" s="27">
        <v>45564</v>
      </c>
      <c r="B110" s="28">
        <v>0.81402777777777768</v>
      </c>
      <c r="C110">
        <v>3.0110000000000001</v>
      </c>
      <c r="D110">
        <v>3.0139999999999998</v>
      </c>
      <c r="E110">
        <v>3.0070000000000001</v>
      </c>
      <c r="F110">
        <v>3.0030000000000001</v>
      </c>
      <c r="G110">
        <v>3.0030000000000001</v>
      </c>
      <c r="H110">
        <v>2.9849999999999999</v>
      </c>
      <c r="I110">
        <v>2.976</v>
      </c>
      <c r="J110">
        <v>2.9830000000000001</v>
      </c>
      <c r="K110">
        <v>3.01</v>
      </c>
      <c r="L110">
        <v>2.9870000000000001</v>
      </c>
      <c r="M110">
        <v>3.0059999999999998</v>
      </c>
      <c r="N110">
        <v>2.9860000000000002</v>
      </c>
      <c r="O110" t="s">
        <v>46</v>
      </c>
      <c r="P110" t="s">
        <v>47</v>
      </c>
    </row>
    <row r="111" spans="1:16" x14ac:dyDescent="0.25">
      <c r="A111" s="27">
        <v>45564</v>
      </c>
      <c r="B111" s="28">
        <v>0.81567129629629631</v>
      </c>
      <c r="C111">
        <v>2.9750000000000001</v>
      </c>
      <c r="D111">
        <v>2.9750000000000001</v>
      </c>
      <c r="E111">
        <v>2.9889999999999999</v>
      </c>
      <c r="F111">
        <v>2.9809999999999999</v>
      </c>
      <c r="G111">
        <v>2.98</v>
      </c>
      <c r="H111">
        <v>3.0009999999999999</v>
      </c>
      <c r="I111">
        <v>2.992</v>
      </c>
      <c r="J111">
        <v>2.988</v>
      </c>
      <c r="K111">
        <v>2.9809999999999999</v>
      </c>
      <c r="L111">
        <v>3.01</v>
      </c>
      <c r="M111">
        <v>2.98</v>
      </c>
      <c r="N111">
        <v>3.0019999999999998</v>
      </c>
      <c r="O111" t="s">
        <v>46</v>
      </c>
      <c r="P111" t="s">
        <v>47</v>
      </c>
    </row>
    <row r="112" spans="1:16" x14ac:dyDescent="0.25">
      <c r="A112" s="27">
        <v>45564</v>
      </c>
      <c r="B112" s="28">
        <v>0.81769675925925922</v>
      </c>
      <c r="C112">
        <v>2.9780000000000002</v>
      </c>
      <c r="D112">
        <v>2.9980000000000002</v>
      </c>
      <c r="E112">
        <v>2.9940000000000002</v>
      </c>
      <c r="F112">
        <v>2.9929999999999999</v>
      </c>
      <c r="G112">
        <v>2.9860000000000002</v>
      </c>
      <c r="H112">
        <v>2.992</v>
      </c>
      <c r="I112">
        <v>3.0089999999999999</v>
      </c>
      <c r="J112">
        <v>3.0110000000000001</v>
      </c>
      <c r="K112">
        <v>2.9870000000000001</v>
      </c>
      <c r="L112">
        <v>2.9780000000000002</v>
      </c>
      <c r="M112">
        <v>2.9950000000000001</v>
      </c>
      <c r="N112">
        <v>2.988</v>
      </c>
      <c r="O112" t="s">
        <v>46</v>
      </c>
      <c r="P112" t="s">
        <v>47</v>
      </c>
    </row>
    <row r="113" spans="1:16" x14ac:dyDescent="0.25">
      <c r="A113" s="27">
        <v>45564</v>
      </c>
      <c r="B113" s="28">
        <v>0.81939814814814815</v>
      </c>
      <c r="C113">
        <v>3.0009999999999999</v>
      </c>
      <c r="D113">
        <v>2.9950000000000001</v>
      </c>
      <c r="E113">
        <v>3.0190000000000001</v>
      </c>
      <c r="F113">
        <v>3.0150000000000001</v>
      </c>
      <c r="G113">
        <v>3.0030000000000001</v>
      </c>
      <c r="H113">
        <v>2.9780000000000002</v>
      </c>
      <c r="I113">
        <v>2.9950000000000001</v>
      </c>
      <c r="J113">
        <v>3.0030000000000001</v>
      </c>
      <c r="K113">
        <v>3.0009999999999999</v>
      </c>
      <c r="L113">
        <v>3.0139999999999998</v>
      </c>
      <c r="M113">
        <v>3.028</v>
      </c>
      <c r="N113">
        <v>3.0110000000000001</v>
      </c>
      <c r="O113" t="s">
        <v>46</v>
      </c>
      <c r="P113" t="s">
        <v>47</v>
      </c>
    </row>
    <row r="114" spans="1:16" x14ac:dyDescent="0.25">
      <c r="A114" s="27">
        <v>45564</v>
      </c>
      <c r="B114" s="28">
        <v>0.82109953703703698</v>
      </c>
      <c r="C114">
        <v>3.0209999999999999</v>
      </c>
      <c r="D114">
        <v>3</v>
      </c>
      <c r="E114">
        <v>3.004</v>
      </c>
      <c r="F114">
        <v>3.0059999999999998</v>
      </c>
      <c r="G114">
        <v>3.0089999999999999</v>
      </c>
      <c r="H114">
        <v>3.0019999999999998</v>
      </c>
      <c r="I114">
        <v>3.0049999999999999</v>
      </c>
      <c r="J114">
        <v>3.0110000000000001</v>
      </c>
      <c r="K114">
        <v>2.9969999999999999</v>
      </c>
      <c r="L114">
        <v>3.0009999999999999</v>
      </c>
      <c r="M114">
        <v>2.9780000000000002</v>
      </c>
      <c r="N114">
        <v>3.0190000000000001</v>
      </c>
      <c r="O114" t="s">
        <v>46</v>
      </c>
      <c r="P114" t="s">
        <v>47</v>
      </c>
    </row>
    <row r="115" spans="1:16" x14ac:dyDescent="0.25">
      <c r="A115" s="27">
        <v>45564</v>
      </c>
      <c r="B115" s="28">
        <v>0.82280092592592602</v>
      </c>
      <c r="C115">
        <v>2.9740000000000002</v>
      </c>
      <c r="D115">
        <v>2.9740000000000002</v>
      </c>
      <c r="E115">
        <v>3.0089999999999999</v>
      </c>
      <c r="F115">
        <v>2.9980000000000002</v>
      </c>
      <c r="G115">
        <v>2.988</v>
      </c>
      <c r="H115">
        <v>3.0070000000000001</v>
      </c>
      <c r="I115">
        <v>2.9940000000000002</v>
      </c>
      <c r="J115">
        <v>3.0129999999999999</v>
      </c>
      <c r="K115">
        <v>3.0070000000000001</v>
      </c>
      <c r="L115">
        <v>3.008</v>
      </c>
      <c r="M115">
        <v>3.0139999999999998</v>
      </c>
      <c r="N115">
        <v>3</v>
      </c>
      <c r="O115" t="s">
        <v>46</v>
      </c>
      <c r="P115" t="s">
        <v>47</v>
      </c>
    </row>
    <row r="116" spans="1:16" x14ac:dyDescent="0.25">
      <c r="A116" s="27">
        <v>45564</v>
      </c>
      <c r="B116" s="28">
        <v>0.82449074074074069</v>
      </c>
      <c r="C116">
        <v>2.988</v>
      </c>
      <c r="D116">
        <v>2.9809999999999999</v>
      </c>
      <c r="E116">
        <v>2.9889999999999999</v>
      </c>
      <c r="F116">
        <v>2.9809999999999999</v>
      </c>
      <c r="G116">
        <v>2.9820000000000002</v>
      </c>
      <c r="H116">
        <v>3.0030000000000001</v>
      </c>
      <c r="I116">
        <v>3.012</v>
      </c>
      <c r="J116">
        <v>3.0059999999999998</v>
      </c>
      <c r="K116">
        <v>2.9889999999999999</v>
      </c>
      <c r="L116">
        <v>3.0169999999999999</v>
      </c>
      <c r="M116">
        <v>3.0009999999999999</v>
      </c>
      <c r="N116">
        <v>3.0129999999999999</v>
      </c>
      <c r="O116" t="s">
        <v>46</v>
      </c>
      <c r="P116" t="s">
        <v>47</v>
      </c>
    </row>
    <row r="117" spans="1:16" x14ac:dyDescent="0.25">
      <c r="A117" s="27">
        <v>45564</v>
      </c>
      <c r="B117" s="28">
        <v>0.82619212962962962</v>
      </c>
      <c r="C117">
        <v>3.0139999999999998</v>
      </c>
      <c r="D117">
        <v>3.0150000000000001</v>
      </c>
      <c r="E117">
        <v>2.97</v>
      </c>
      <c r="F117">
        <v>2.992</v>
      </c>
      <c r="G117">
        <v>3.0169999999999999</v>
      </c>
      <c r="H117">
        <v>2.996</v>
      </c>
      <c r="I117">
        <v>3.0019999999999998</v>
      </c>
      <c r="J117">
        <v>3.0070000000000001</v>
      </c>
      <c r="K117">
        <v>3.004</v>
      </c>
      <c r="L117">
        <v>2.9860000000000002</v>
      </c>
      <c r="M117">
        <v>2.9769999999999999</v>
      </c>
      <c r="N117">
        <v>2.9940000000000002</v>
      </c>
      <c r="O117" t="s">
        <v>46</v>
      </c>
      <c r="P117" t="s">
        <v>47</v>
      </c>
    </row>
    <row r="118" spans="1:16" x14ac:dyDescent="0.25">
      <c r="A118" s="27">
        <v>45564</v>
      </c>
      <c r="B118" s="28">
        <v>0.82789351851851845</v>
      </c>
      <c r="C118">
        <v>3.02</v>
      </c>
      <c r="D118">
        <v>3.0289999999999999</v>
      </c>
      <c r="E118">
        <v>2.9950000000000001</v>
      </c>
      <c r="F118">
        <v>3.0049999999999999</v>
      </c>
      <c r="G118">
        <v>3.0270000000000001</v>
      </c>
      <c r="H118">
        <v>3.0139999999999998</v>
      </c>
      <c r="I118">
        <v>2.9969999999999999</v>
      </c>
      <c r="J118">
        <v>3.0059999999999998</v>
      </c>
      <c r="K118">
        <v>2.9980000000000002</v>
      </c>
      <c r="L118">
        <v>3.0019999999999998</v>
      </c>
      <c r="M118">
        <v>3.0150000000000001</v>
      </c>
      <c r="N118">
        <v>3.01</v>
      </c>
      <c r="O118" t="s">
        <v>46</v>
      </c>
      <c r="P118" t="s">
        <v>47</v>
      </c>
    </row>
    <row r="119" spans="1:16" x14ac:dyDescent="0.25">
      <c r="A119" s="27">
        <v>45564</v>
      </c>
      <c r="B119" s="28">
        <v>0.82959490740740749</v>
      </c>
      <c r="C119">
        <v>2.996</v>
      </c>
      <c r="D119">
        <v>2.9849999999999999</v>
      </c>
      <c r="E119">
        <v>3.0179999999999998</v>
      </c>
      <c r="F119">
        <v>3.004</v>
      </c>
      <c r="G119">
        <v>2.9889999999999999</v>
      </c>
      <c r="H119">
        <v>3.0310000000000001</v>
      </c>
      <c r="I119">
        <v>2.984</v>
      </c>
      <c r="J119">
        <v>2.9870000000000001</v>
      </c>
      <c r="K119">
        <v>2.996</v>
      </c>
      <c r="L119">
        <v>2.9929999999999999</v>
      </c>
      <c r="M119">
        <v>2.988</v>
      </c>
      <c r="N119">
        <v>2.972</v>
      </c>
      <c r="O119" t="s">
        <v>46</v>
      </c>
      <c r="P119" t="s">
        <v>47</v>
      </c>
    </row>
    <row r="120" spans="1:16" x14ac:dyDescent="0.25">
      <c r="A120" s="27">
        <v>45564</v>
      </c>
      <c r="B120" s="28">
        <v>0.83129629629629631</v>
      </c>
      <c r="C120">
        <v>3.0129999999999999</v>
      </c>
      <c r="D120">
        <v>3.0219999999999998</v>
      </c>
      <c r="E120">
        <v>3.02</v>
      </c>
      <c r="F120">
        <v>3.0329999999999999</v>
      </c>
      <c r="G120">
        <v>2.9969999999999999</v>
      </c>
      <c r="H120">
        <v>2.996</v>
      </c>
      <c r="I120">
        <v>3.016</v>
      </c>
      <c r="J120">
        <v>2.98</v>
      </c>
      <c r="K120">
        <v>3.0329999999999999</v>
      </c>
      <c r="L120">
        <v>2.9889999999999999</v>
      </c>
      <c r="M120">
        <v>3.0209999999999999</v>
      </c>
      <c r="N120">
        <v>2.9980000000000002</v>
      </c>
      <c r="O120" t="s">
        <v>46</v>
      </c>
      <c r="P120" t="s">
        <v>47</v>
      </c>
    </row>
    <row r="121" spans="1:16" x14ac:dyDescent="0.25">
      <c r="A121" s="27">
        <v>45564</v>
      </c>
      <c r="B121" s="28">
        <v>0.83328703703703699</v>
      </c>
      <c r="C121">
        <v>3.0070000000000001</v>
      </c>
      <c r="D121">
        <v>3.0209999999999999</v>
      </c>
      <c r="E121">
        <v>3.004</v>
      </c>
      <c r="F121">
        <v>3.004</v>
      </c>
      <c r="G121">
        <v>3</v>
      </c>
      <c r="H121">
        <v>3.0110000000000001</v>
      </c>
      <c r="I121">
        <v>3.012</v>
      </c>
      <c r="J121">
        <v>2.98</v>
      </c>
      <c r="K121">
        <v>3.0190000000000001</v>
      </c>
      <c r="L121">
        <v>2.9860000000000002</v>
      </c>
      <c r="M121">
        <v>2.99</v>
      </c>
      <c r="N121">
        <v>3.004</v>
      </c>
      <c r="O121" t="s">
        <v>46</v>
      </c>
      <c r="P121" t="s">
        <v>47</v>
      </c>
    </row>
    <row r="122" spans="1:16" x14ac:dyDescent="0.25">
      <c r="A122" s="27">
        <v>45564</v>
      </c>
      <c r="B122" s="28">
        <v>0.83811342592592597</v>
      </c>
      <c r="I122">
        <v>3.0049999999999999</v>
      </c>
      <c r="J122">
        <v>2.9929999999999999</v>
      </c>
      <c r="K122">
        <v>2.9790000000000001</v>
      </c>
      <c r="L122">
        <v>3.0089999999999999</v>
      </c>
      <c r="M122">
        <v>2.9870000000000001</v>
      </c>
      <c r="N122">
        <v>2.9889999999999999</v>
      </c>
      <c r="O122" t="s">
        <v>46</v>
      </c>
      <c r="P122" t="s">
        <v>47</v>
      </c>
    </row>
    <row r="123" spans="1:16" x14ac:dyDescent="0.25">
      <c r="A123" s="27">
        <v>45564</v>
      </c>
      <c r="B123" s="28">
        <v>0.8389699074074074</v>
      </c>
      <c r="C123">
        <v>2.9630000000000001</v>
      </c>
      <c r="D123">
        <v>2.9950000000000001</v>
      </c>
      <c r="E123">
        <v>2.98</v>
      </c>
      <c r="F123">
        <v>3.0049999999999999</v>
      </c>
      <c r="G123">
        <v>2.9910000000000001</v>
      </c>
      <c r="H123">
        <v>3.0019999999999998</v>
      </c>
      <c r="I123">
        <v>2.996</v>
      </c>
      <c r="J123">
        <v>3.0019999999999998</v>
      </c>
      <c r="K123">
        <v>2.9769999999999999</v>
      </c>
      <c r="L123">
        <v>3.0059999999999998</v>
      </c>
      <c r="M123">
        <v>3.004</v>
      </c>
      <c r="N123">
        <v>3.0070000000000001</v>
      </c>
      <c r="O123" t="s">
        <v>46</v>
      </c>
      <c r="P123" t="s">
        <v>47</v>
      </c>
    </row>
    <row r="124" spans="1:16" x14ac:dyDescent="0.25">
      <c r="A124" s="27">
        <v>45564</v>
      </c>
      <c r="B124" s="28">
        <v>0.84067129629629633</v>
      </c>
      <c r="C124">
        <v>2.9889999999999999</v>
      </c>
      <c r="D124">
        <v>2.9870000000000001</v>
      </c>
      <c r="E124">
        <v>2.9910000000000001</v>
      </c>
      <c r="F124">
        <v>2.992</v>
      </c>
      <c r="G124">
        <v>3.0009999999999999</v>
      </c>
      <c r="H124">
        <v>3.0089999999999999</v>
      </c>
      <c r="I124">
        <v>2.9990000000000001</v>
      </c>
      <c r="J124">
        <v>3.0089999999999999</v>
      </c>
      <c r="K124">
        <v>3.0030000000000001</v>
      </c>
      <c r="L124">
        <v>3.0179999999999998</v>
      </c>
      <c r="M124">
        <v>2.9889999999999999</v>
      </c>
      <c r="N124">
        <v>2.9990000000000001</v>
      </c>
      <c r="O124" t="s">
        <v>46</v>
      </c>
      <c r="P124" t="s">
        <v>47</v>
      </c>
    </row>
    <row r="125" spans="1:16" x14ac:dyDescent="0.25">
      <c r="A125" s="27">
        <v>45564</v>
      </c>
      <c r="B125" s="28">
        <v>0.84237268518518515</v>
      </c>
      <c r="C125">
        <v>2.9950000000000001</v>
      </c>
      <c r="D125">
        <v>3</v>
      </c>
      <c r="E125">
        <v>3.0129999999999999</v>
      </c>
      <c r="F125">
        <v>3.0030000000000001</v>
      </c>
      <c r="G125">
        <v>3.0049999999999999</v>
      </c>
      <c r="H125">
        <v>2.976</v>
      </c>
      <c r="I125">
        <v>2.99</v>
      </c>
      <c r="J125">
        <v>3.048</v>
      </c>
      <c r="K125">
        <v>3.0249999999999999</v>
      </c>
      <c r="L125">
        <v>3.02</v>
      </c>
      <c r="M125">
        <v>3.024</v>
      </c>
      <c r="N125">
        <v>3.0259999999999998</v>
      </c>
      <c r="O125" t="s">
        <v>46</v>
      </c>
      <c r="P125" t="s">
        <v>47</v>
      </c>
    </row>
    <row r="126" spans="1:16" x14ac:dyDescent="0.25">
      <c r="A126" s="27">
        <v>45564</v>
      </c>
      <c r="B126" s="28">
        <v>0.84410879629629632</v>
      </c>
      <c r="C126">
        <v>2.99</v>
      </c>
      <c r="D126">
        <v>3.0219999999999998</v>
      </c>
      <c r="E126">
        <v>3.0139999999999998</v>
      </c>
      <c r="F126">
        <v>3.0219999999999998</v>
      </c>
      <c r="G126">
        <v>3.0150000000000001</v>
      </c>
      <c r="H126">
        <v>3.02</v>
      </c>
      <c r="I126">
        <v>3.0209999999999999</v>
      </c>
      <c r="J126">
        <v>3.0590000000000002</v>
      </c>
      <c r="K126">
        <v>3.0190000000000001</v>
      </c>
      <c r="L126">
        <v>3.0009999999999999</v>
      </c>
      <c r="M126">
        <v>3.032</v>
      </c>
      <c r="N126">
        <v>3.0209999999999999</v>
      </c>
      <c r="O126" t="s">
        <v>46</v>
      </c>
      <c r="P126" t="s">
        <v>47</v>
      </c>
    </row>
    <row r="127" spans="1:16" x14ac:dyDescent="0.25">
      <c r="A127" s="27">
        <v>45564</v>
      </c>
      <c r="B127" s="28">
        <v>0.85722222222222222</v>
      </c>
      <c r="I127">
        <v>3.0030000000000001</v>
      </c>
      <c r="J127">
        <v>3.0289999999999999</v>
      </c>
      <c r="K127">
        <v>3.0190000000000001</v>
      </c>
      <c r="L127">
        <v>2.9649999999999999</v>
      </c>
      <c r="M127">
        <v>2.9849999999999999</v>
      </c>
      <c r="N127">
        <v>2.9649999999999999</v>
      </c>
      <c r="O127" t="s">
        <v>46</v>
      </c>
      <c r="P127" t="s">
        <v>47</v>
      </c>
    </row>
    <row r="128" spans="1:16" x14ac:dyDescent="0.25">
      <c r="A128" s="27">
        <v>45564</v>
      </c>
      <c r="B128" s="28">
        <v>0.85782407407407402</v>
      </c>
      <c r="C128">
        <v>3.01</v>
      </c>
      <c r="D128">
        <v>2.9910000000000001</v>
      </c>
      <c r="E128">
        <v>3.0070000000000001</v>
      </c>
      <c r="F128">
        <v>3.0139999999999998</v>
      </c>
      <c r="G128">
        <v>3.0070000000000001</v>
      </c>
      <c r="H128">
        <v>3.032</v>
      </c>
      <c r="I128">
        <v>2.9950000000000001</v>
      </c>
      <c r="J128">
        <v>2.9910000000000001</v>
      </c>
      <c r="K128">
        <v>3.008</v>
      </c>
      <c r="L128">
        <v>2.984</v>
      </c>
      <c r="M128">
        <v>2.9830000000000001</v>
      </c>
      <c r="N128">
        <v>2.9769999999999999</v>
      </c>
      <c r="O128" t="s">
        <v>46</v>
      </c>
      <c r="P128" t="s">
        <v>47</v>
      </c>
    </row>
    <row r="129" spans="1:16" x14ac:dyDescent="0.25">
      <c r="A129" s="27">
        <v>45564</v>
      </c>
      <c r="B129" s="28">
        <v>0.85903935185185187</v>
      </c>
      <c r="C129">
        <v>3.016</v>
      </c>
      <c r="D129">
        <v>3.0070000000000001</v>
      </c>
      <c r="E129">
        <v>3.0409999999999999</v>
      </c>
      <c r="F129">
        <v>3.004</v>
      </c>
      <c r="G129">
        <v>3.024</v>
      </c>
      <c r="H129">
        <v>3.0070000000000001</v>
      </c>
      <c r="I129">
        <v>2.9830000000000001</v>
      </c>
      <c r="J129">
        <v>2.964</v>
      </c>
      <c r="K129">
        <v>2.9849999999999999</v>
      </c>
      <c r="L129">
        <v>2.9910000000000001</v>
      </c>
      <c r="M129">
        <v>2.9929999999999999</v>
      </c>
      <c r="N129">
        <v>2.9969999999999999</v>
      </c>
      <c r="O129" t="s">
        <v>46</v>
      </c>
      <c r="P129" t="s">
        <v>47</v>
      </c>
    </row>
    <row r="130" spans="1:16" x14ac:dyDescent="0.25">
      <c r="A130" s="27">
        <v>45564</v>
      </c>
      <c r="B130" s="28">
        <v>0.86135416666666664</v>
      </c>
      <c r="I130">
        <v>2.984</v>
      </c>
      <c r="J130">
        <v>2.9750000000000001</v>
      </c>
      <c r="K130">
        <v>2.9630000000000001</v>
      </c>
      <c r="L130">
        <v>2.992</v>
      </c>
      <c r="M130">
        <v>2.9990000000000001</v>
      </c>
      <c r="N130">
        <v>2.98</v>
      </c>
      <c r="O130" t="s">
        <v>46</v>
      </c>
      <c r="P130" t="s">
        <v>47</v>
      </c>
    </row>
    <row r="131" spans="1:16" x14ac:dyDescent="0.25">
      <c r="A131" s="27">
        <v>45564</v>
      </c>
      <c r="B131" s="28">
        <v>0.86196759259259259</v>
      </c>
      <c r="C131">
        <v>3.0459999999999998</v>
      </c>
      <c r="D131">
        <v>3.032</v>
      </c>
      <c r="E131">
        <v>3.0249999999999999</v>
      </c>
      <c r="F131">
        <v>3.024</v>
      </c>
      <c r="G131">
        <v>3.0249999999999999</v>
      </c>
      <c r="H131">
        <v>3.0430000000000001</v>
      </c>
      <c r="I131">
        <v>2.9790000000000001</v>
      </c>
      <c r="J131">
        <v>2.9980000000000002</v>
      </c>
      <c r="K131">
        <v>2.992</v>
      </c>
      <c r="L131">
        <v>2.9980000000000002</v>
      </c>
      <c r="M131">
        <v>3.024</v>
      </c>
      <c r="N131">
        <v>3.0190000000000001</v>
      </c>
      <c r="O131" t="s">
        <v>46</v>
      </c>
      <c r="P131" t="s">
        <v>47</v>
      </c>
    </row>
    <row r="132" spans="1:16" x14ac:dyDescent="0.25">
      <c r="A132" s="27">
        <v>45564</v>
      </c>
      <c r="B132" s="28">
        <v>0.8652777777777777</v>
      </c>
      <c r="I132">
        <v>3.0230000000000001</v>
      </c>
      <c r="J132">
        <v>3.0139999999999998</v>
      </c>
      <c r="K132">
        <v>3.02</v>
      </c>
      <c r="L132">
        <v>3.03</v>
      </c>
      <c r="M132">
        <v>3.0179999999999998</v>
      </c>
      <c r="N132">
        <v>3.0209999999999999</v>
      </c>
      <c r="O132" t="s">
        <v>46</v>
      </c>
      <c r="P132" t="s">
        <v>47</v>
      </c>
    </row>
    <row r="133" spans="1:16" x14ac:dyDescent="0.25">
      <c r="A133" s="27">
        <v>45564</v>
      </c>
      <c r="B133" s="28">
        <v>0.86587962962962972</v>
      </c>
      <c r="C133">
        <v>2.9740000000000002</v>
      </c>
      <c r="D133">
        <v>3</v>
      </c>
      <c r="E133">
        <v>2.9620000000000002</v>
      </c>
      <c r="F133">
        <v>2.9769999999999999</v>
      </c>
      <c r="G133">
        <v>2.944</v>
      </c>
      <c r="H133">
        <v>2.9790000000000001</v>
      </c>
      <c r="I133">
        <v>3.024</v>
      </c>
      <c r="J133">
        <v>3</v>
      </c>
      <c r="K133">
        <v>3.0030000000000001</v>
      </c>
      <c r="L133">
        <v>3.004</v>
      </c>
      <c r="M133">
        <v>3.0030000000000001</v>
      </c>
      <c r="N133">
        <v>3.012</v>
      </c>
      <c r="O133" t="s">
        <v>46</v>
      </c>
      <c r="P133" t="s">
        <v>47</v>
      </c>
    </row>
    <row r="134" spans="1:16" x14ac:dyDescent="0.25">
      <c r="A134" s="27">
        <v>45564</v>
      </c>
      <c r="B134" s="28">
        <v>0.86709490740740736</v>
      </c>
      <c r="C134">
        <v>3.0019999999999998</v>
      </c>
      <c r="D134">
        <v>2.9929999999999999</v>
      </c>
      <c r="E134">
        <v>2.9660000000000002</v>
      </c>
      <c r="F134">
        <v>2.9750000000000001</v>
      </c>
      <c r="G134">
        <v>2.9750000000000001</v>
      </c>
      <c r="H134">
        <v>2.992</v>
      </c>
      <c r="I134">
        <v>2.9950000000000001</v>
      </c>
      <c r="J134">
        <v>3.0190000000000001</v>
      </c>
      <c r="K134">
        <v>2.9980000000000002</v>
      </c>
      <c r="L134">
        <v>2.9910000000000001</v>
      </c>
      <c r="M134">
        <v>2.992</v>
      </c>
      <c r="N134">
        <v>2.996</v>
      </c>
      <c r="O134" t="s">
        <v>46</v>
      </c>
      <c r="P134" t="s">
        <v>47</v>
      </c>
    </row>
    <row r="135" spans="1:16" x14ac:dyDescent="0.25">
      <c r="A135" s="27">
        <v>45564</v>
      </c>
      <c r="B135" s="28">
        <v>0.86831018518518521</v>
      </c>
      <c r="C135">
        <v>3.0169999999999999</v>
      </c>
      <c r="D135">
        <v>2.99</v>
      </c>
      <c r="E135">
        <v>3.0139999999999998</v>
      </c>
      <c r="F135">
        <v>2.9950000000000001</v>
      </c>
      <c r="G135">
        <v>2.9990000000000001</v>
      </c>
      <c r="H135">
        <v>3.0169999999999999</v>
      </c>
      <c r="I135">
        <v>3.0070000000000001</v>
      </c>
      <c r="J135">
        <v>2.9969999999999999</v>
      </c>
      <c r="K135">
        <v>2.9790000000000001</v>
      </c>
      <c r="L135">
        <v>2.976</v>
      </c>
      <c r="M135">
        <v>2.9990000000000001</v>
      </c>
      <c r="N135">
        <v>2.9830000000000001</v>
      </c>
      <c r="O135" t="s">
        <v>46</v>
      </c>
      <c r="P135" t="s">
        <v>47</v>
      </c>
    </row>
    <row r="136" spans="1:16" x14ac:dyDescent="0.25">
      <c r="A136" s="27">
        <v>45564</v>
      </c>
      <c r="B136" s="28">
        <v>0.87035879629629631</v>
      </c>
      <c r="I136">
        <v>3</v>
      </c>
      <c r="J136">
        <v>2.988</v>
      </c>
      <c r="K136">
        <v>3.012</v>
      </c>
      <c r="L136">
        <v>2.9870000000000001</v>
      </c>
      <c r="M136">
        <v>3.0129999999999999</v>
      </c>
      <c r="N136">
        <v>2.984</v>
      </c>
      <c r="O136" t="s">
        <v>46</v>
      </c>
      <c r="P136" t="s">
        <v>47</v>
      </c>
    </row>
    <row r="137" spans="1:16" x14ac:dyDescent="0.25">
      <c r="A137" s="27">
        <v>45564</v>
      </c>
      <c r="B137" s="28">
        <v>0.87097222222222215</v>
      </c>
      <c r="C137">
        <v>3.0110000000000001</v>
      </c>
      <c r="D137">
        <v>2.9929999999999999</v>
      </c>
      <c r="E137">
        <v>3.02</v>
      </c>
      <c r="F137">
        <v>2.9929999999999999</v>
      </c>
      <c r="G137">
        <v>2.9830000000000001</v>
      </c>
      <c r="H137">
        <v>2.99</v>
      </c>
      <c r="I137">
        <v>2.992</v>
      </c>
      <c r="J137">
        <v>2.984</v>
      </c>
      <c r="K137">
        <v>2.9809999999999999</v>
      </c>
      <c r="L137">
        <v>2.9929999999999999</v>
      </c>
      <c r="M137">
        <v>2.9790000000000001</v>
      </c>
      <c r="N137">
        <v>3</v>
      </c>
      <c r="O137" t="s">
        <v>46</v>
      </c>
      <c r="P137" t="s">
        <v>47</v>
      </c>
    </row>
    <row r="138" spans="1:16" x14ac:dyDescent="0.25">
      <c r="A138" s="27">
        <v>45564</v>
      </c>
      <c r="B138" s="28">
        <v>0.87217592592592597</v>
      </c>
      <c r="C138">
        <v>2.9769999999999999</v>
      </c>
      <c r="D138">
        <v>2.9940000000000002</v>
      </c>
      <c r="E138">
        <v>2.996</v>
      </c>
      <c r="F138">
        <v>3.0009999999999999</v>
      </c>
      <c r="G138">
        <v>2.9910000000000001</v>
      </c>
      <c r="H138">
        <v>2.9910000000000001</v>
      </c>
      <c r="I138">
        <v>3.01</v>
      </c>
      <c r="J138">
        <v>2.9929999999999999</v>
      </c>
      <c r="K138">
        <v>2.99</v>
      </c>
      <c r="L138">
        <v>3.0009999999999999</v>
      </c>
      <c r="M138">
        <v>2.9849999999999999</v>
      </c>
      <c r="N138">
        <v>3.01</v>
      </c>
      <c r="O138" t="s">
        <v>46</v>
      </c>
      <c r="P138" t="s">
        <v>47</v>
      </c>
    </row>
    <row r="139" spans="1:16" x14ac:dyDescent="0.25">
      <c r="A139" s="27">
        <v>45564</v>
      </c>
      <c r="B139" s="28">
        <v>0.87859953703703697</v>
      </c>
      <c r="I139">
        <v>2.99</v>
      </c>
      <c r="J139">
        <v>2.9950000000000001</v>
      </c>
      <c r="K139">
        <v>2.9980000000000002</v>
      </c>
      <c r="L139">
        <v>3.016</v>
      </c>
      <c r="M139">
        <v>2.9860000000000002</v>
      </c>
      <c r="N139">
        <v>3.0070000000000001</v>
      </c>
      <c r="O139" t="s">
        <v>46</v>
      </c>
      <c r="P139" t="s">
        <v>47</v>
      </c>
    </row>
    <row r="140" spans="1:16" x14ac:dyDescent="0.25">
      <c r="A140" s="27">
        <v>45564</v>
      </c>
      <c r="B140" s="28">
        <v>0.87920138888888888</v>
      </c>
      <c r="C140">
        <v>2.968</v>
      </c>
      <c r="D140">
        <v>3.0049999999999999</v>
      </c>
      <c r="E140">
        <v>2.9820000000000002</v>
      </c>
      <c r="F140">
        <v>2.9950000000000001</v>
      </c>
      <c r="G140">
        <v>3.012</v>
      </c>
      <c r="H140">
        <v>3.0169999999999999</v>
      </c>
      <c r="I140">
        <v>3.0059999999999998</v>
      </c>
      <c r="J140">
        <v>3.0249999999999999</v>
      </c>
      <c r="K140">
        <v>3.0070000000000001</v>
      </c>
      <c r="L140">
        <v>2.9830000000000001</v>
      </c>
      <c r="M140">
        <v>2.9769999999999999</v>
      </c>
      <c r="N140">
        <v>3</v>
      </c>
      <c r="O140" t="s">
        <v>46</v>
      </c>
      <c r="P140" t="s">
        <v>47</v>
      </c>
    </row>
    <row r="141" spans="1:16" x14ac:dyDescent="0.25">
      <c r="A141" s="27">
        <v>45564</v>
      </c>
      <c r="B141" s="28">
        <v>0.88041666666666663</v>
      </c>
      <c r="C141">
        <v>2.9980000000000002</v>
      </c>
      <c r="D141">
        <v>2.992</v>
      </c>
      <c r="E141">
        <v>3.0009999999999999</v>
      </c>
      <c r="F141">
        <v>3.0070000000000001</v>
      </c>
      <c r="G141">
        <v>3.0150000000000001</v>
      </c>
      <c r="H141">
        <v>2.988</v>
      </c>
      <c r="I141">
        <v>3.0089999999999999</v>
      </c>
      <c r="J141">
        <v>3.0209999999999999</v>
      </c>
      <c r="K141">
        <v>3</v>
      </c>
      <c r="L141">
        <v>3.0259999999999998</v>
      </c>
      <c r="M141">
        <v>3.0419999999999998</v>
      </c>
      <c r="N141">
        <v>3.0139999999999998</v>
      </c>
      <c r="O141" t="s">
        <v>46</v>
      </c>
      <c r="P141" t="s">
        <v>47</v>
      </c>
    </row>
    <row r="142" spans="1:16" x14ac:dyDescent="0.25">
      <c r="A142" s="27">
        <v>45564</v>
      </c>
      <c r="B142" s="28">
        <v>0.88163194444444448</v>
      </c>
      <c r="C142">
        <v>3.008</v>
      </c>
      <c r="D142">
        <v>2.9940000000000002</v>
      </c>
      <c r="E142">
        <v>2.9849999999999999</v>
      </c>
      <c r="F142">
        <v>3.0209999999999999</v>
      </c>
      <c r="G142">
        <v>2.9929999999999999</v>
      </c>
      <c r="H142">
        <v>2.996</v>
      </c>
      <c r="I142">
        <v>2.9820000000000002</v>
      </c>
      <c r="J142">
        <v>2.9820000000000002</v>
      </c>
      <c r="K142">
        <v>3.024</v>
      </c>
      <c r="L142">
        <v>3.004</v>
      </c>
      <c r="M142">
        <v>3.0409999999999999</v>
      </c>
      <c r="N142">
        <v>3.0219999999999998</v>
      </c>
      <c r="O142" t="s">
        <v>46</v>
      </c>
      <c r="P142" t="s">
        <v>47</v>
      </c>
    </row>
    <row r="143" spans="1:16" x14ac:dyDescent="0.25">
      <c r="A143" s="27">
        <v>45564</v>
      </c>
      <c r="B143" s="28">
        <v>0.88284722222222223</v>
      </c>
      <c r="C143">
        <v>2.9889999999999999</v>
      </c>
      <c r="D143">
        <v>3.004</v>
      </c>
      <c r="E143">
        <v>2.996</v>
      </c>
      <c r="F143">
        <v>2.9780000000000002</v>
      </c>
      <c r="G143">
        <v>2.9660000000000002</v>
      </c>
      <c r="H143">
        <v>2.9910000000000001</v>
      </c>
      <c r="I143">
        <v>2.9940000000000002</v>
      </c>
      <c r="J143">
        <v>2.9870000000000001</v>
      </c>
      <c r="K143">
        <v>3.0259999999999998</v>
      </c>
      <c r="L143">
        <v>3.0329999999999999</v>
      </c>
      <c r="M143">
        <v>2.99</v>
      </c>
      <c r="N143">
        <v>2.9820000000000002</v>
      </c>
      <c r="O143" t="s">
        <v>46</v>
      </c>
      <c r="P143" t="s">
        <v>47</v>
      </c>
    </row>
    <row r="144" spans="1:16" x14ac:dyDescent="0.25">
      <c r="A144" s="27">
        <v>45564</v>
      </c>
      <c r="B144" s="28">
        <v>0.88406250000000008</v>
      </c>
      <c r="C144">
        <v>3.0070000000000001</v>
      </c>
      <c r="D144">
        <v>2.9990000000000001</v>
      </c>
      <c r="E144">
        <v>3.0059999999999998</v>
      </c>
      <c r="F144">
        <v>3.0019999999999998</v>
      </c>
      <c r="G144">
        <v>3.0009999999999999</v>
      </c>
      <c r="H144">
        <v>2.984</v>
      </c>
      <c r="I144">
        <v>2.992</v>
      </c>
      <c r="J144">
        <v>3.01</v>
      </c>
      <c r="K144">
        <v>2.9780000000000002</v>
      </c>
      <c r="L144">
        <v>2.9889999999999999</v>
      </c>
      <c r="M144">
        <v>2.99</v>
      </c>
      <c r="N144">
        <v>2.9870000000000001</v>
      </c>
      <c r="O144" t="s">
        <v>46</v>
      </c>
      <c r="P144" t="s">
        <v>47</v>
      </c>
    </row>
    <row r="145" spans="1:16" x14ac:dyDescent="0.25">
      <c r="A145" s="27">
        <v>45564</v>
      </c>
      <c r="B145" s="28">
        <v>0.88527777777777772</v>
      </c>
      <c r="C145">
        <v>3.0019999999999998</v>
      </c>
      <c r="D145">
        <v>2.9950000000000001</v>
      </c>
      <c r="E145">
        <v>2.9889999999999999</v>
      </c>
      <c r="F145">
        <v>3.0009999999999999</v>
      </c>
      <c r="G145">
        <v>2.9820000000000002</v>
      </c>
      <c r="H145">
        <v>3.0059999999999998</v>
      </c>
      <c r="I145">
        <v>2.9809999999999999</v>
      </c>
      <c r="J145">
        <v>2.9910000000000001</v>
      </c>
      <c r="K145">
        <v>2.9809999999999999</v>
      </c>
      <c r="L145">
        <v>2.9769999999999999</v>
      </c>
      <c r="M145">
        <v>2.9860000000000002</v>
      </c>
      <c r="N145">
        <v>2.9969999999999999</v>
      </c>
      <c r="O145" t="s">
        <v>46</v>
      </c>
      <c r="P145" t="s">
        <v>47</v>
      </c>
    </row>
    <row r="146" spans="1:16" x14ac:dyDescent="0.25">
      <c r="A146" s="27">
        <v>45564</v>
      </c>
      <c r="B146" s="28">
        <v>0.88649305555555558</v>
      </c>
      <c r="C146">
        <v>3.0019999999999998</v>
      </c>
      <c r="D146">
        <v>2.964</v>
      </c>
      <c r="E146">
        <v>2.9830000000000001</v>
      </c>
      <c r="F146">
        <v>2.9929999999999999</v>
      </c>
      <c r="G146">
        <v>2.97</v>
      </c>
      <c r="H146">
        <v>3.0009999999999999</v>
      </c>
      <c r="O146" t="s">
        <v>46</v>
      </c>
      <c r="P146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1627-074B-449A-B3CC-A7A0E72BFE2A}">
  <sheetPr>
    <pageSetUpPr fitToPage="1"/>
  </sheetPr>
  <dimension ref="A1:O164"/>
  <sheetViews>
    <sheetView view="pageLayout" zoomScale="70" zoomScaleNormal="100" zoomScalePageLayoutView="70" workbookViewId="0">
      <selection activeCell="J11" sqref="J11"/>
    </sheetView>
  </sheetViews>
  <sheetFormatPr defaultColWidth="9" defaultRowHeight="13.8" x14ac:dyDescent="0.25"/>
  <cols>
    <col min="1" max="1" width="18.33203125" style="12" customWidth="1"/>
    <col min="2" max="10" width="9.109375" style="1" customWidth="1"/>
    <col min="11" max="11" width="9.88671875" style="1" customWidth="1"/>
    <col min="12" max="12" width="9" style="1" customWidth="1"/>
    <col min="13" max="13" width="10.33203125" style="1" customWidth="1"/>
    <col min="14" max="16384" width="9" style="1"/>
  </cols>
  <sheetData>
    <row r="1" spans="1:15" ht="23.25" customHeight="1" x14ac:dyDescent="0.25">
      <c r="A1" s="31" t="s">
        <v>39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5" ht="69.75" customHeight="1" x14ac:dyDescent="0.25">
      <c r="A2" s="2" t="s">
        <v>3</v>
      </c>
      <c r="B2" s="3" t="s">
        <v>17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</row>
    <row r="3" spans="1:15" x14ac:dyDescent="0.25">
      <c r="A3" s="4">
        <v>1</v>
      </c>
      <c r="B3" s="29"/>
      <c r="C3" s="29"/>
      <c r="D3" s="29"/>
      <c r="E3" s="29"/>
      <c r="F3" s="29"/>
      <c r="G3" s="29"/>
      <c r="H3" s="29"/>
      <c r="I3">
        <v>2.9460000000000002</v>
      </c>
      <c r="J3">
        <v>3.0430000000000001</v>
      </c>
      <c r="K3" s="29"/>
      <c r="L3" s="29"/>
      <c r="M3" s="29"/>
      <c r="N3" s="14"/>
      <c r="O3" s="13"/>
    </row>
    <row r="4" spans="1:15" x14ac:dyDescent="0.25">
      <c r="A4" s="4">
        <v>2</v>
      </c>
      <c r="B4">
        <v>3.0150000000000001</v>
      </c>
      <c r="C4">
        <v>3.0350000000000001</v>
      </c>
      <c r="D4">
        <v>3.0249999999999999</v>
      </c>
      <c r="E4">
        <v>3.0329999999999999</v>
      </c>
      <c r="F4">
        <v>3.0249999999999999</v>
      </c>
      <c r="G4">
        <v>3.0489999999999999</v>
      </c>
      <c r="H4">
        <v>3.0249999999999999</v>
      </c>
      <c r="I4">
        <v>3.0129999999999999</v>
      </c>
      <c r="J4">
        <v>3.0609999999999999</v>
      </c>
      <c r="K4">
        <v>3.03</v>
      </c>
      <c r="L4">
        <v>3.0470000000000002</v>
      </c>
      <c r="M4">
        <v>2.9969999999999999</v>
      </c>
      <c r="N4" s="14"/>
      <c r="O4" s="13"/>
    </row>
    <row r="5" spans="1:15" x14ac:dyDescent="0.25">
      <c r="A5" s="4">
        <v>3</v>
      </c>
      <c r="B5">
        <v>3.0209999999999999</v>
      </c>
      <c r="C5">
        <v>2.9910000000000001</v>
      </c>
      <c r="D5">
        <v>3</v>
      </c>
      <c r="E5">
        <v>3.0070000000000001</v>
      </c>
      <c r="F5">
        <v>3.0190000000000001</v>
      </c>
      <c r="G5">
        <v>3.0259999999999998</v>
      </c>
      <c r="H5">
        <v>3.012</v>
      </c>
      <c r="I5">
        <v>3.0019999999999998</v>
      </c>
      <c r="J5">
        <v>2.97</v>
      </c>
      <c r="K5">
        <v>2.9929999999999999</v>
      </c>
      <c r="L5">
        <v>3.028</v>
      </c>
      <c r="M5">
        <v>2.9929999999999999</v>
      </c>
      <c r="N5" s="14"/>
      <c r="O5" s="13"/>
    </row>
    <row r="6" spans="1:15" x14ac:dyDescent="0.25">
      <c r="A6" s="4">
        <v>4</v>
      </c>
      <c r="B6">
        <v>3.008</v>
      </c>
      <c r="C6">
        <v>2.98</v>
      </c>
      <c r="D6">
        <v>3.0169999999999999</v>
      </c>
      <c r="E6">
        <v>3.0110000000000001</v>
      </c>
      <c r="F6">
        <v>2.9980000000000002</v>
      </c>
      <c r="G6">
        <v>3.0019999999999998</v>
      </c>
      <c r="H6">
        <v>3.0259999999999998</v>
      </c>
      <c r="I6">
        <v>3.01</v>
      </c>
      <c r="J6">
        <v>2.9609999999999999</v>
      </c>
      <c r="K6">
        <v>3.0110000000000001</v>
      </c>
      <c r="L6">
        <v>3.032</v>
      </c>
      <c r="M6">
        <v>3.0110000000000001</v>
      </c>
      <c r="N6" s="14"/>
      <c r="O6" s="13"/>
    </row>
    <row r="7" spans="1:15" x14ac:dyDescent="0.25">
      <c r="A7" s="4">
        <v>5</v>
      </c>
      <c r="B7">
        <v>3.0169999999999999</v>
      </c>
      <c r="C7">
        <v>2.9809999999999999</v>
      </c>
      <c r="D7">
        <v>2.9870000000000001</v>
      </c>
      <c r="E7">
        <v>3.0219999999999998</v>
      </c>
      <c r="F7">
        <v>3.0139999999999998</v>
      </c>
      <c r="G7">
        <v>3.008</v>
      </c>
      <c r="H7">
        <v>3.004</v>
      </c>
      <c r="I7">
        <v>2.9950000000000001</v>
      </c>
      <c r="J7">
        <v>2.9980000000000002</v>
      </c>
      <c r="K7">
        <v>3.008</v>
      </c>
      <c r="L7">
        <v>3.008</v>
      </c>
      <c r="M7">
        <v>2.988</v>
      </c>
      <c r="N7" s="14"/>
      <c r="O7" s="13"/>
    </row>
    <row r="8" spans="1:15" x14ac:dyDescent="0.25">
      <c r="A8" s="4">
        <v>6</v>
      </c>
      <c r="B8">
        <v>2.992</v>
      </c>
      <c r="C8">
        <v>3.02</v>
      </c>
      <c r="D8">
        <v>2.9929999999999999</v>
      </c>
      <c r="E8">
        <v>2.9990000000000001</v>
      </c>
      <c r="F8">
        <v>2.9889999999999999</v>
      </c>
      <c r="G8">
        <v>3.0150000000000001</v>
      </c>
      <c r="H8">
        <v>3.0089999999999999</v>
      </c>
      <c r="I8">
        <v>3.0259999999999998</v>
      </c>
      <c r="J8">
        <v>3.0009999999999999</v>
      </c>
      <c r="K8">
        <v>3.02</v>
      </c>
      <c r="L8">
        <v>3.0129999999999999</v>
      </c>
      <c r="M8">
        <v>3.0179999999999998</v>
      </c>
      <c r="N8" s="14"/>
      <c r="O8" s="13"/>
    </row>
    <row r="9" spans="1:15" x14ac:dyDescent="0.25">
      <c r="A9" s="4">
        <v>7</v>
      </c>
      <c r="B9"/>
      <c r="C9"/>
      <c r="D9"/>
      <c r="E9"/>
      <c r="F9"/>
      <c r="G9"/>
      <c r="H9">
        <v>2.9790000000000001</v>
      </c>
      <c r="I9">
        <v>2.9910000000000001</v>
      </c>
      <c r="J9">
        <v>2.9750000000000001</v>
      </c>
      <c r="K9">
        <v>2.9830000000000001</v>
      </c>
      <c r="L9">
        <v>3.0049999999999999</v>
      </c>
      <c r="M9">
        <v>2.9849999999999999</v>
      </c>
      <c r="N9" s="14"/>
      <c r="O9" s="13"/>
    </row>
    <row r="10" spans="1:15" x14ac:dyDescent="0.25">
      <c r="A10" s="4">
        <v>8</v>
      </c>
      <c r="B10">
        <v>2.9569999999999999</v>
      </c>
      <c r="C10">
        <v>3.0059999999999998</v>
      </c>
      <c r="D10">
        <v>2.9710000000000001</v>
      </c>
      <c r="E10">
        <v>2.9689999999999999</v>
      </c>
      <c r="F10">
        <v>3.008</v>
      </c>
      <c r="G10">
        <v>3.0030000000000001</v>
      </c>
      <c r="H10">
        <v>2.9830000000000001</v>
      </c>
      <c r="I10">
        <v>3.0019999999999998</v>
      </c>
      <c r="J10">
        <v>3.01</v>
      </c>
      <c r="K10">
        <v>2.9950000000000001</v>
      </c>
      <c r="L10">
        <v>3.0049999999999999</v>
      </c>
      <c r="M10">
        <v>3.008</v>
      </c>
      <c r="N10" s="14"/>
      <c r="O10" s="13"/>
    </row>
    <row r="11" spans="1:15" x14ac:dyDescent="0.25">
      <c r="A11" s="4">
        <v>9</v>
      </c>
      <c r="B11">
        <v>2.9689999999999999</v>
      </c>
      <c r="C11">
        <v>3.0169999999999999</v>
      </c>
      <c r="D11">
        <v>2.9769999999999999</v>
      </c>
      <c r="E11">
        <v>2.9990000000000001</v>
      </c>
      <c r="F11">
        <v>2.968</v>
      </c>
      <c r="G11">
        <v>3.0150000000000001</v>
      </c>
      <c r="H11">
        <v>2.984</v>
      </c>
      <c r="I11">
        <v>2.9750000000000001</v>
      </c>
      <c r="J11">
        <v>2.976</v>
      </c>
      <c r="K11">
        <v>2.98</v>
      </c>
      <c r="L11">
        <v>2.968</v>
      </c>
      <c r="M11">
        <v>2.9529999999999998</v>
      </c>
      <c r="N11" s="14"/>
      <c r="O11" s="13"/>
    </row>
    <row r="12" spans="1:15" x14ac:dyDescent="0.25">
      <c r="A12" s="4">
        <v>10</v>
      </c>
      <c r="B12">
        <v>3.0049999999999999</v>
      </c>
      <c r="C12">
        <v>2.9809999999999999</v>
      </c>
      <c r="D12">
        <v>3.0030000000000001</v>
      </c>
      <c r="E12">
        <v>2.9889999999999999</v>
      </c>
      <c r="F12">
        <v>2.988</v>
      </c>
      <c r="G12">
        <v>2.996</v>
      </c>
      <c r="H12">
        <v>2.984</v>
      </c>
      <c r="I12">
        <v>2.99</v>
      </c>
      <c r="J12">
        <v>3.008</v>
      </c>
      <c r="K12">
        <v>3.0059999999999998</v>
      </c>
      <c r="L12">
        <v>2.99</v>
      </c>
      <c r="M12">
        <v>2.9790000000000001</v>
      </c>
      <c r="N12" s="14"/>
      <c r="O12" s="13"/>
    </row>
    <row r="13" spans="1:15" x14ac:dyDescent="0.25">
      <c r="A13" s="4">
        <v>11</v>
      </c>
      <c r="B13">
        <v>3.0190000000000001</v>
      </c>
      <c r="C13">
        <v>2.976</v>
      </c>
      <c r="D13">
        <v>3.0150000000000001</v>
      </c>
      <c r="E13">
        <v>2.9670000000000001</v>
      </c>
      <c r="F13">
        <v>2.976</v>
      </c>
      <c r="G13">
        <v>2.9740000000000002</v>
      </c>
      <c r="H13">
        <v>2.99</v>
      </c>
      <c r="I13">
        <v>2.9980000000000002</v>
      </c>
      <c r="J13">
        <v>3.0369999999999999</v>
      </c>
      <c r="K13">
        <v>3.0110000000000001</v>
      </c>
      <c r="L13">
        <v>3.012</v>
      </c>
      <c r="M13">
        <v>2.972</v>
      </c>
      <c r="N13" s="14"/>
      <c r="O13" s="13"/>
    </row>
    <row r="14" spans="1:15" x14ac:dyDescent="0.25">
      <c r="A14" s="4">
        <v>12</v>
      </c>
      <c r="B14">
        <v>2.9790000000000001</v>
      </c>
      <c r="C14">
        <v>2.9910000000000001</v>
      </c>
      <c r="D14">
        <v>2.9689999999999999</v>
      </c>
      <c r="E14">
        <v>3.0009999999999999</v>
      </c>
      <c r="F14">
        <v>2.9820000000000002</v>
      </c>
      <c r="G14">
        <v>3.0139999999999998</v>
      </c>
      <c r="H14">
        <v>2.9780000000000002</v>
      </c>
      <c r="I14">
        <v>2.9990000000000001</v>
      </c>
      <c r="J14">
        <v>3.01</v>
      </c>
      <c r="K14">
        <v>2.992</v>
      </c>
      <c r="L14">
        <v>2.984</v>
      </c>
      <c r="M14">
        <v>3</v>
      </c>
      <c r="N14" s="14"/>
      <c r="O14" s="13"/>
    </row>
    <row r="15" spans="1:15" x14ac:dyDescent="0.25">
      <c r="A15" s="4">
        <v>13</v>
      </c>
      <c r="B15">
        <v>2.9849999999999999</v>
      </c>
      <c r="C15">
        <v>3.032</v>
      </c>
      <c r="D15">
        <v>2.9889999999999999</v>
      </c>
      <c r="E15">
        <v>2.9870000000000001</v>
      </c>
      <c r="F15">
        <v>3.0070000000000001</v>
      </c>
      <c r="G15">
        <v>2.9910000000000001</v>
      </c>
      <c r="H15">
        <v>2.9550000000000001</v>
      </c>
      <c r="I15">
        <v>2.984</v>
      </c>
      <c r="J15">
        <v>3.0070000000000001</v>
      </c>
      <c r="K15">
        <v>2.9969999999999999</v>
      </c>
      <c r="L15">
        <v>2.9609999999999999</v>
      </c>
      <c r="M15">
        <v>3.0089999999999999</v>
      </c>
      <c r="N15" s="14"/>
      <c r="O15" s="13"/>
    </row>
    <row r="16" spans="1:15" x14ac:dyDescent="0.25">
      <c r="A16" s="4">
        <v>14</v>
      </c>
      <c r="B16">
        <v>3.012</v>
      </c>
      <c r="C16">
        <v>3.0089999999999999</v>
      </c>
      <c r="D16">
        <v>3.0270000000000001</v>
      </c>
      <c r="E16">
        <v>3.0070000000000001</v>
      </c>
      <c r="F16">
        <v>3.0179999999999998</v>
      </c>
      <c r="G16">
        <v>3.0190000000000001</v>
      </c>
      <c r="H16">
        <v>2.9940000000000002</v>
      </c>
      <c r="I16">
        <v>2.9889999999999999</v>
      </c>
      <c r="J16">
        <v>2.992</v>
      </c>
      <c r="K16">
        <v>2.98</v>
      </c>
      <c r="L16">
        <v>3.0219999999999998</v>
      </c>
      <c r="M16">
        <v>3.0019999999999998</v>
      </c>
      <c r="N16" s="14"/>
      <c r="O16" s="13"/>
    </row>
    <row r="17" spans="1:15" x14ac:dyDescent="0.25">
      <c r="A17" s="4">
        <v>15</v>
      </c>
      <c r="B17">
        <v>3.024</v>
      </c>
      <c r="C17">
        <v>2.9950000000000001</v>
      </c>
      <c r="D17">
        <v>2.996</v>
      </c>
      <c r="E17">
        <v>2.99</v>
      </c>
      <c r="F17">
        <v>3.0049999999999999</v>
      </c>
      <c r="G17">
        <v>2.97</v>
      </c>
      <c r="H17">
        <v>3.0070000000000001</v>
      </c>
      <c r="I17">
        <v>3.004</v>
      </c>
      <c r="J17">
        <v>2.9860000000000002</v>
      </c>
      <c r="K17">
        <v>3</v>
      </c>
      <c r="L17">
        <v>2.9929999999999999</v>
      </c>
      <c r="M17">
        <v>2.9929999999999999</v>
      </c>
      <c r="N17" s="14"/>
      <c r="O17" s="13"/>
    </row>
    <row r="18" spans="1:15" x14ac:dyDescent="0.25">
      <c r="A18" s="4">
        <v>16</v>
      </c>
      <c r="B18">
        <v>2.9769999999999999</v>
      </c>
      <c r="C18">
        <v>2.9820000000000002</v>
      </c>
      <c r="D18">
        <v>3.0169999999999999</v>
      </c>
      <c r="E18">
        <v>2.9649999999999999</v>
      </c>
      <c r="F18">
        <v>2.9889999999999999</v>
      </c>
      <c r="G18">
        <v>2.968</v>
      </c>
      <c r="H18">
        <v>2.99</v>
      </c>
      <c r="I18">
        <v>2.9809999999999999</v>
      </c>
      <c r="J18">
        <v>2.96</v>
      </c>
      <c r="K18">
        <v>2.976</v>
      </c>
      <c r="L18">
        <v>2.9630000000000001</v>
      </c>
      <c r="M18">
        <v>2.9609999999999999</v>
      </c>
      <c r="N18" s="14"/>
      <c r="O18" s="13"/>
    </row>
    <row r="19" spans="1:15" x14ac:dyDescent="0.25">
      <c r="A19" s="4">
        <v>17</v>
      </c>
      <c r="B19">
        <v>2.9649999999999999</v>
      </c>
      <c r="C19">
        <v>2.9590000000000001</v>
      </c>
      <c r="D19">
        <v>2.9740000000000002</v>
      </c>
      <c r="E19">
        <v>2.9809999999999999</v>
      </c>
      <c r="F19">
        <v>2.9689999999999999</v>
      </c>
      <c r="G19">
        <v>2.9670000000000001</v>
      </c>
      <c r="H19">
        <v>2.9820000000000002</v>
      </c>
      <c r="I19">
        <v>3.012</v>
      </c>
      <c r="J19">
        <v>2.9750000000000001</v>
      </c>
      <c r="K19">
        <v>2.9889999999999999</v>
      </c>
      <c r="L19">
        <v>2.988</v>
      </c>
      <c r="M19">
        <v>2.9769999999999999</v>
      </c>
      <c r="N19" s="14"/>
      <c r="O19" s="13"/>
    </row>
    <row r="20" spans="1:15" x14ac:dyDescent="0.25">
      <c r="A20" s="4">
        <v>18</v>
      </c>
      <c r="B20">
        <v>3</v>
      </c>
      <c r="C20">
        <v>2.9950000000000001</v>
      </c>
      <c r="D20">
        <v>2.9860000000000002</v>
      </c>
      <c r="E20">
        <v>2.984</v>
      </c>
      <c r="F20">
        <v>2.9740000000000002</v>
      </c>
      <c r="G20">
        <v>3.0169999999999999</v>
      </c>
      <c r="H20">
        <v>2.9590000000000001</v>
      </c>
      <c r="I20">
        <v>2.9940000000000002</v>
      </c>
      <c r="J20">
        <v>2.976</v>
      </c>
      <c r="K20">
        <v>2.9910000000000001</v>
      </c>
      <c r="L20">
        <v>2.9729999999999999</v>
      </c>
      <c r="M20">
        <v>2.9870000000000001</v>
      </c>
      <c r="N20" s="14"/>
      <c r="O20" s="13"/>
    </row>
    <row r="21" spans="1:15" x14ac:dyDescent="0.25">
      <c r="A21" s="4">
        <v>19</v>
      </c>
      <c r="B21">
        <v>2.992</v>
      </c>
      <c r="C21">
        <v>2.9689999999999999</v>
      </c>
      <c r="D21">
        <v>2.9870000000000001</v>
      </c>
      <c r="E21">
        <v>2.9950000000000001</v>
      </c>
      <c r="F21">
        <v>2.956</v>
      </c>
      <c r="G21">
        <v>2.9990000000000001</v>
      </c>
      <c r="H21">
        <v>2.9969999999999999</v>
      </c>
      <c r="I21">
        <v>2.97</v>
      </c>
      <c r="J21">
        <v>3.0009999999999999</v>
      </c>
      <c r="K21">
        <v>2.984</v>
      </c>
      <c r="L21">
        <v>2.9820000000000002</v>
      </c>
      <c r="M21">
        <v>2.9790000000000001</v>
      </c>
      <c r="N21" s="14"/>
      <c r="O21" s="13"/>
    </row>
    <row r="22" spans="1:15" x14ac:dyDescent="0.25">
      <c r="A22" s="4">
        <v>20</v>
      </c>
      <c r="B22">
        <v>2.9990000000000001</v>
      </c>
      <c r="C22">
        <v>2.9809999999999999</v>
      </c>
      <c r="D22">
        <v>2.9910000000000001</v>
      </c>
      <c r="E22">
        <v>3.004</v>
      </c>
      <c r="F22">
        <v>3.0059999999999998</v>
      </c>
      <c r="G22">
        <v>2.9950000000000001</v>
      </c>
      <c r="H22">
        <v>2.9969999999999999</v>
      </c>
      <c r="I22">
        <v>2.99</v>
      </c>
      <c r="J22">
        <v>3.012</v>
      </c>
      <c r="K22">
        <v>2.9929999999999999</v>
      </c>
      <c r="L22">
        <v>3.0139999999999998</v>
      </c>
      <c r="M22">
        <v>3.0209999999999999</v>
      </c>
      <c r="N22" s="14"/>
      <c r="O22" s="13"/>
    </row>
    <row r="23" spans="1:15" x14ac:dyDescent="0.25">
      <c r="A23" s="4">
        <v>21</v>
      </c>
      <c r="B23">
        <v>3.0049999999999999</v>
      </c>
      <c r="C23">
        <v>2.9990000000000001</v>
      </c>
      <c r="D23">
        <v>2.98</v>
      </c>
      <c r="E23">
        <v>3.0150000000000001</v>
      </c>
      <c r="F23">
        <v>3.0059999999999998</v>
      </c>
      <c r="G23">
        <v>2.9820000000000002</v>
      </c>
      <c r="H23">
        <v>2.9910000000000001</v>
      </c>
      <c r="I23">
        <v>3.004</v>
      </c>
      <c r="J23">
        <v>2.968</v>
      </c>
      <c r="K23">
        <v>2.988</v>
      </c>
      <c r="L23">
        <v>2.992</v>
      </c>
      <c r="M23">
        <v>3.008</v>
      </c>
      <c r="N23" s="14"/>
      <c r="O23" s="13"/>
    </row>
    <row r="24" spans="1:15" x14ac:dyDescent="0.25">
      <c r="A24" s="4">
        <v>22</v>
      </c>
      <c r="B24">
        <v>2.9660000000000002</v>
      </c>
      <c r="C24">
        <v>2.988</v>
      </c>
      <c r="D24">
        <v>3.0070000000000001</v>
      </c>
      <c r="E24">
        <v>3.0009999999999999</v>
      </c>
      <c r="F24">
        <v>3.0110000000000001</v>
      </c>
      <c r="G24">
        <v>3</v>
      </c>
      <c r="H24">
        <v>3</v>
      </c>
      <c r="I24">
        <v>3.0019999999999998</v>
      </c>
      <c r="J24">
        <v>2.9809999999999999</v>
      </c>
      <c r="K24">
        <v>2.9710000000000001</v>
      </c>
      <c r="L24">
        <v>2.9809999999999999</v>
      </c>
      <c r="M24">
        <v>2.9870000000000001</v>
      </c>
      <c r="N24" s="14"/>
      <c r="O24" s="13"/>
    </row>
    <row r="25" spans="1:15" x14ac:dyDescent="0.25">
      <c r="A25" s="4">
        <v>23</v>
      </c>
      <c r="B25">
        <v>2.9750000000000001</v>
      </c>
      <c r="C25">
        <v>2.996</v>
      </c>
      <c r="D25">
        <v>3.024</v>
      </c>
      <c r="E25">
        <v>2.9929999999999999</v>
      </c>
      <c r="F25">
        <v>2.9990000000000001</v>
      </c>
      <c r="G25">
        <v>3.008</v>
      </c>
      <c r="H25">
        <v>2.9630000000000001</v>
      </c>
      <c r="I25">
        <v>2.992</v>
      </c>
      <c r="J25">
        <v>3.024</v>
      </c>
      <c r="K25">
        <v>3.04</v>
      </c>
      <c r="L25">
        <v>2.992</v>
      </c>
      <c r="M25">
        <v>2.972</v>
      </c>
      <c r="N25" s="14"/>
      <c r="O25" s="13"/>
    </row>
    <row r="26" spans="1:15" x14ac:dyDescent="0.25">
      <c r="A26" s="4">
        <v>24</v>
      </c>
      <c r="B26">
        <v>2.9950000000000001</v>
      </c>
      <c r="C26">
        <v>2.972</v>
      </c>
      <c r="D26">
        <v>2.9910000000000001</v>
      </c>
      <c r="E26">
        <v>2.9969999999999999</v>
      </c>
      <c r="F26">
        <v>2.9940000000000002</v>
      </c>
      <c r="G26">
        <v>2.9780000000000002</v>
      </c>
      <c r="H26">
        <v>3.0310000000000001</v>
      </c>
      <c r="I26">
        <v>3.0070000000000001</v>
      </c>
      <c r="J26">
        <v>3.0350000000000001</v>
      </c>
      <c r="K26">
        <v>3.0449999999999999</v>
      </c>
      <c r="L26">
        <v>3.04</v>
      </c>
      <c r="M26">
        <v>3.0350000000000001</v>
      </c>
      <c r="N26" s="14"/>
      <c r="O26" s="13"/>
    </row>
    <row r="27" spans="1:15" x14ac:dyDescent="0.25">
      <c r="A27" s="4">
        <v>25</v>
      </c>
      <c r="B27">
        <v>3.0659999999999998</v>
      </c>
      <c r="C27">
        <v>3.028</v>
      </c>
      <c r="D27">
        <v>3.024</v>
      </c>
      <c r="E27">
        <v>3.0329999999999999</v>
      </c>
      <c r="F27">
        <v>3.0339999999999998</v>
      </c>
      <c r="G27">
        <v>3.0569999999999999</v>
      </c>
      <c r="H27"/>
      <c r="I27"/>
      <c r="J27"/>
      <c r="K27"/>
      <c r="L27"/>
      <c r="M27"/>
      <c r="N27" s="14"/>
      <c r="O27" s="13"/>
    </row>
    <row r="28" spans="1:15" x14ac:dyDescent="0.25">
      <c r="A28" s="4">
        <v>26</v>
      </c>
      <c r="B28"/>
      <c r="C28"/>
      <c r="D28"/>
      <c r="E28"/>
      <c r="F28"/>
      <c r="G28"/>
      <c r="H28">
        <v>2.94</v>
      </c>
      <c r="I28">
        <v>3.0179999999999998</v>
      </c>
      <c r="J28">
        <v>2.9820000000000002</v>
      </c>
      <c r="K28">
        <v>2.9670000000000001</v>
      </c>
      <c r="L28">
        <v>2.9990000000000001</v>
      </c>
      <c r="M28">
        <v>2.992</v>
      </c>
      <c r="N28" s="14"/>
      <c r="O28" s="13"/>
    </row>
    <row r="29" spans="1:15" x14ac:dyDescent="0.25">
      <c r="A29" s="4">
        <v>27</v>
      </c>
      <c r="B29">
        <v>3.0270000000000001</v>
      </c>
      <c r="C29">
        <v>3.0030000000000001</v>
      </c>
      <c r="D29">
        <v>2.9969999999999999</v>
      </c>
      <c r="E29">
        <v>2.9929999999999999</v>
      </c>
      <c r="F29">
        <v>2.9889999999999999</v>
      </c>
      <c r="G29">
        <v>3.0009999999999999</v>
      </c>
      <c r="H29">
        <v>2.9550000000000001</v>
      </c>
      <c r="I29">
        <v>2.9990000000000001</v>
      </c>
      <c r="J29">
        <v>2.9929999999999999</v>
      </c>
      <c r="K29">
        <v>2.9750000000000001</v>
      </c>
      <c r="L29">
        <v>3.0139999999999998</v>
      </c>
      <c r="M29">
        <v>3.0339999999999998</v>
      </c>
      <c r="N29" s="14"/>
      <c r="O29" s="13"/>
    </row>
    <row r="30" spans="1:15" x14ac:dyDescent="0.25">
      <c r="A30" s="4">
        <v>28</v>
      </c>
      <c r="B30">
        <v>3.0390000000000001</v>
      </c>
      <c r="C30">
        <v>2.9889999999999999</v>
      </c>
      <c r="D30">
        <v>3.004</v>
      </c>
      <c r="E30">
        <v>3.0009999999999999</v>
      </c>
      <c r="F30">
        <v>2.9980000000000002</v>
      </c>
      <c r="G30">
        <v>3.0419999999999998</v>
      </c>
      <c r="H30">
        <v>3.004</v>
      </c>
      <c r="I30">
        <v>2.98</v>
      </c>
      <c r="J30">
        <v>2.984</v>
      </c>
      <c r="K30">
        <v>2.97</v>
      </c>
      <c r="L30">
        <v>2.9849999999999999</v>
      </c>
      <c r="M30">
        <v>3.0059999999999998</v>
      </c>
      <c r="N30" s="14"/>
      <c r="O30" s="13"/>
    </row>
    <row r="31" spans="1:15" x14ac:dyDescent="0.25">
      <c r="A31" s="4">
        <v>29</v>
      </c>
      <c r="B31">
        <v>3.0019999999999998</v>
      </c>
      <c r="C31">
        <v>3.008</v>
      </c>
      <c r="D31">
        <v>3.02</v>
      </c>
      <c r="E31">
        <v>3</v>
      </c>
      <c r="F31">
        <v>3.0070000000000001</v>
      </c>
      <c r="G31">
        <v>3.032</v>
      </c>
      <c r="H31">
        <v>3.02</v>
      </c>
      <c r="I31">
        <v>2.9860000000000002</v>
      </c>
      <c r="J31">
        <v>2.988</v>
      </c>
      <c r="K31">
        <v>2.97</v>
      </c>
      <c r="L31">
        <v>3</v>
      </c>
      <c r="M31">
        <v>3.0139999999999998</v>
      </c>
      <c r="N31" s="14"/>
      <c r="O31" s="13"/>
    </row>
    <row r="32" spans="1:15" x14ac:dyDescent="0.25">
      <c r="A32" s="4">
        <v>30</v>
      </c>
      <c r="B32">
        <v>3.024</v>
      </c>
      <c r="C32">
        <v>3.0169999999999999</v>
      </c>
      <c r="D32">
        <v>3.03</v>
      </c>
      <c r="E32">
        <v>2.9990000000000001</v>
      </c>
      <c r="F32">
        <v>3.0110000000000001</v>
      </c>
      <c r="G32">
        <v>3.0179999999999998</v>
      </c>
      <c r="H32">
        <v>2.992</v>
      </c>
      <c r="I32">
        <v>3.0110000000000001</v>
      </c>
      <c r="J32">
        <v>2.992</v>
      </c>
      <c r="K32">
        <v>3.0179999999999998</v>
      </c>
      <c r="L32">
        <v>2.9990000000000001</v>
      </c>
      <c r="M32">
        <v>2.9990000000000001</v>
      </c>
      <c r="N32" s="14"/>
      <c r="O32" s="13"/>
    </row>
    <row r="33" spans="1:15" x14ac:dyDescent="0.25">
      <c r="A33" s="4">
        <v>31</v>
      </c>
      <c r="B33">
        <v>2.9590000000000001</v>
      </c>
      <c r="C33">
        <v>2.9910000000000001</v>
      </c>
      <c r="D33">
        <v>2.9660000000000002</v>
      </c>
      <c r="E33">
        <v>2.992</v>
      </c>
      <c r="F33">
        <v>2.996</v>
      </c>
      <c r="G33">
        <v>3.0129999999999999</v>
      </c>
      <c r="H33">
        <v>2.99</v>
      </c>
      <c r="I33">
        <v>3.0070000000000001</v>
      </c>
      <c r="J33">
        <v>3.0059999999999998</v>
      </c>
      <c r="K33">
        <v>3.0129999999999999</v>
      </c>
      <c r="L33">
        <v>2.9950000000000001</v>
      </c>
      <c r="M33">
        <v>3.012</v>
      </c>
      <c r="N33" s="14"/>
      <c r="O33" s="13"/>
    </row>
    <row r="34" spans="1:15" x14ac:dyDescent="0.25">
      <c r="A34" s="4">
        <v>32</v>
      </c>
      <c r="B34">
        <v>2.9889999999999999</v>
      </c>
      <c r="C34">
        <v>2.9950000000000001</v>
      </c>
      <c r="D34">
        <v>2.9849999999999999</v>
      </c>
      <c r="E34">
        <v>3.0059999999999998</v>
      </c>
      <c r="F34">
        <v>3.0070000000000001</v>
      </c>
      <c r="G34">
        <v>3.0070000000000001</v>
      </c>
      <c r="H34">
        <v>2.988</v>
      </c>
      <c r="I34">
        <v>2.9889999999999999</v>
      </c>
      <c r="J34">
        <v>2.996</v>
      </c>
      <c r="K34">
        <v>2.9830000000000001</v>
      </c>
      <c r="L34">
        <v>2.98</v>
      </c>
      <c r="M34">
        <v>2.9889999999999999</v>
      </c>
      <c r="N34" s="14"/>
      <c r="O34" s="13"/>
    </row>
    <row r="35" spans="1:15" x14ac:dyDescent="0.25">
      <c r="A35" s="4">
        <v>33</v>
      </c>
      <c r="B35">
        <v>2.9950000000000001</v>
      </c>
      <c r="C35">
        <v>3.0059999999999998</v>
      </c>
      <c r="D35">
        <v>2.9889999999999999</v>
      </c>
      <c r="E35">
        <v>3.016</v>
      </c>
      <c r="F35">
        <v>2.996</v>
      </c>
      <c r="G35">
        <v>2.992</v>
      </c>
      <c r="H35">
        <v>3.0070000000000001</v>
      </c>
      <c r="I35">
        <v>2.9910000000000001</v>
      </c>
      <c r="J35">
        <v>3.004</v>
      </c>
      <c r="K35">
        <v>3.016</v>
      </c>
      <c r="L35">
        <v>3.0190000000000001</v>
      </c>
      <c r="M35">
        <v>2.9950000000000001</v>
      </c>
      <c r="N35" s="14"/>
      <c r="O35" s="13"/>
    </row>
    <row r="36" spans="1:15" x14ac:dyDescent="0.25">
      <c r="A36" s="4">
        <v>34</v>
      </c>
      <c r="B36">
        <v>2.9820000000000002</v>
      </c>
      <c r="C36">
        <v>3.0179999999999998</v>
      </c>
      <c r="D36">
        <v>2.9969999999999999</v>
      </c>
      <c r="E36">
        <v>3.0249999999999999</v>
      </c>
      <c r="F36">
        <v>3.02</v>
      </c>
      <c r="G36">
        <v>3.0169999999999999</v>
      </c>
      <c r="H36"/>
      <c r="I36"/>
      <c r="J36"/>
      <c r="K36"/>
      <c r="L36"/>
      <c r="M36"/>
      <c r="N36" s="14"/>
      <c r="O36" s="13"/>
    </row>
    <row r="37" spans="1:15" x14ac:dyDescent="0.25">
      <c r="A37" s="4">
        <v>35</v>
      </c>
      <c r="B37">
        <v>3.0049999999999999</v>
      </c>
      <c r="C37">
        <v>2.9809999999999999</v>
      </c>
      <c r="D37">
        <v>2.9830000000000001</v>
      </c>
      <c r="E37">
        <v>3.0019999999999998</v>
      </c>
      <c r="F37">
        <v>2.9849999999999999</v>
      </c>
      <c r="G37">
        <v>2.98</v>
      </c>
      <c r="H37">
        <v>2.9969999999999999</v>
      </c>
      <c r="I37">
        <v>3.0049999999999999</v>
      </c>
      <c r="J37">
        <v>3.0049999999999999</v>
      </c>
      <c r="K37">
        <v>3.0230000000000001</v>
      </c>
      <c r="L37">
        <v>3.0209999999999999</v>
      </c>
      <c r="M37">
        <v>2.984</v>
      </c>
      <c r="N37" s="14"/>
      <c r="O37" s="13"/>
    </row>
    <row r="38" spans="1:15" x14ac:dyDescent="0.25">
      <c r="A38" s="4">
        <v>36</v>
      </c>
      <c r="B38">
        <v>3.0059999999999998</v>
      </c>
      <c r="C38">
        <v>3.0209999999999999</v>
      </c>
      <c r="D38">
        <v>2.9969999999999999</v>
      </c>
      <c r="E38">
        <v>2.9929999999999999</v>
      </c>
      <c r="F38">
        <v>2.99</v>
      </c>
      <c r="G38">
        <v>3.0019999999999998</v>
      </c>
      <c r="H38">
        <v>3.0049999999999999</v>
      </c>
      <c r="I38">
        <v>2.988</v>
      </c>
      <c r="J38">
        <v>3.012</v>
      </c>
      <c r="K38">
        <v>3.0009999999999999</v>
      </c>
      <c r="L38">
        <v>2.9889999999999999</v>
      </c>
      <c r="M38">
        <v>3.028</v>
      </c>
      <c r="N38" s="14"/>
      <c r="O38" s="13"/>
    </row>
    <row r="39" spans="1:15" x14ac:dyDescent="0.25">
      <c r="A39" s="4">
        <v>37</v>
      </c>
      <c r="B39">
        <v>3.012</v>
      </c>
      <c r="C39">
        <v>2.9710000000000001</v>
      </c>
      <c r="D39">
        <v>3.0049999999999999</v>
      </c>
      <c r="E39">
        <v>2.98</v>
      </c>
      <c r="F39">
        <v>2.9940000000000002</v>
      </c>
      <c r="G39">
        <v>2.984</v>
      </c>
      <c r="H39">
        <v>3.0219999999999998</v>
      </c>
      <c r="I39">
        <v>3.0230000000000001</v>
      </c>
      <c r="J39">
        <v>3.0150000000000001</v>
      </c>
      <c r="K39">
        <v>3.0030000000000001</v>
      </c>
      <c r="L39">
        <v>2.9950000000000001</v>
      </c>
      <c r="M39">
        <v>3.0310000000000001</v>
      </c>
      <c r="N39" s="14"/>
      <c r="O39" s="13"/>
    </row>
    <row r="40" spans="1:15" x14ac:dyDescent="0.25">
      <c r="A40" s="4">
        <v>38</v>
      </c>
      <c r="B40">
        <v>3.01</v>
      </c>
      <c r="C40">
        <v>2.99</v>
      </c>
      <c r="D40">
        <v>3.004</v>
      </c>
      <c r="E40">
        <v>2.9740000000000002</v>
      </c>
      <c r="F40">
        <v>2.9969999999999999</v>
      </c>
      <c r="G40">
        <v>2.9950000000000001</v>
      </c>
      <c r="H40">
        <v>2.9980000000000002</v>
      </c>
      <c r="I40">
        <v>3.0129999999999999</v>
      </c>
      <c r="J40">
        <v>2.9969999999999999</v>
      </c>
      <c r="K40">
        <v>3.0059999999999998</v>
      </c>
      <c r="L40">
        <v>3.0129999999999999</v>
      </c>
      <c r="M40">
        <v>2.9940000000000002</v>
      </c>
      <c r="N40" s="14"/>
      <c r="O40" s="13"/>
    </row>
    <row r="41" spans="1:15" x14ac:dyDescent="0.25">
      <c r="A41" s="4">
        <v>39</v>
      </c>
      <c r="B41">
        <v>2.9950000000000001</v>
      </c>
      <c r="C41">
        <v>2.9929999999999999</v>
      </c>
      <c r="D41">
        <v>2.9980000000000002</v>
      </c>
      <c r="E41">
        <v>2.9969999999999999</v>
      </c>
      <c r="F41">
        <v>3.0019999999999998</v>
      </c>
      <c r="G41">
        <v>3.01</v>
      </c>
      <c r="H41">
        <v>2.9940000000000002</v>
      </c>
      <c r="I41">
        <v>2.992</v>
      </c>
      <c r="J41">
        <v>3.0059999999999998</v>
      </c>
      <c r="K41">
        <v>3.0139999999999998</v>
      </c>
      <c r="L41">
        <v>2.9990000000000001</v>
      </c>
      <c r="M41">
        <v>2.9670000000000001</v>
      </c>
      <c r="N41" s="14"/>
      <c r="O41" s="13"/>
    </row>
    <row r="42" spans="1:15" x14ac:dyDescent="0.25">
      <c r="A42" s="4">
        <v>40</v>
      </c>
      <c r="B42">
        <v>2.968</v>
      </c>
      <c r="C42">
        <v>3.0019999999999998</v>
      </c>
      <c r="D42">
        <v>3.016</v>
      </c>
      <c r="E42">
        <v>3.0179999999999998</v>
      </c>
      <c r="F42">
        <v>3.008</v>
      </c>
      <c r="G42">
        <v>3.0310000000000001</v>
      </c>
      <c r="H42">
        <v>2.984</v>
      </c>
      <c r="I42">
        <v>2.964</v>
      </c>
      <c r="J42">
        <v>2.9809999999999999</v>
      </c>
      <c r="K42">
        <v>2.9860000000000002</v>
      </c>
      <c r="L42">
        <v>3.0009999999999999</v>
      </c>
      <c r="M42">
        <v>2.9849999999999999</v>
      </c>
      <c r="N42" s="14"/>
      <c r="O42" s="13"/>
    </row>
    <row r="43" spans="1:15" x14ac:dyDescent="0.25">
      <c r="A43" s="4">
        <v>41</v>
      </c>
      <c r="B43">
        <v>2.9489999999999998</v>
      </c>
      <c r="C43">
        <v>2.9980000000000002</v>
      </c>
      <c r="D43">
        <v>2.9550000000000001</v>
      </c>
      <c r="E43">
        <v>2.9860000000000002</v>
      </c>
      <c r="F43">
        <v>2.9830000000000001</v>
      </c>
      <c r="G43">
        <v>2.9809999999999999</v>
      </c>
      <c r="H43">
        <v>2.9950000000000001</v>
      </c>
      <c r="I43">
        <v>2.9849999999999999</v>
      </c>
      <c r="J43">
        <v>2.9620000000000002</v>
      </c>
      <c r="K43">
        <v>2.9910000000000001</v>
      </c>
      <c r="L43">
        <v>2.9780000000000002</v>
      </c>
      <c r="M43">
        <v>2.9860000000000002</v>
      </c>
      <c r="N43" s="14"/>
      <c r="O43" s="13"/>
    </row>
    <row r="44" spans="1:15" x14ac:dyDescent="0.25">
      <c r="A44" s="4">
        <v>42</v>
      </c>
      <c r="B44">
        <v>2.9870000000000001</v>
      </c>
      <c r="C44">
        <v>3.0049999999999999</v>
      </c>
      <c r="D44">
        <v>2.9750000000000001</v>
      </c>
      <c r="E44">
        <v>3.0030000000000001</v>
      </c>
      <c r="F44">
        <v>2.9820000000000002</v>
      </c>
      <c r="G44">
        <v>2.992</v>
      </c>
      <c r="H44">
        <v>3.0009999999999999</v>
      </c>
      <c r="I44">
        <v>3.0049999999999999</v>
      </c>
      <c r="J44">
        <v>2.9940000000000002</v>
      </c>
      <c r="K44">
        <v>2.992</v>
      </c>
      <c r="L44">
        <v>3.0110000000000001</v>
      </c>
      <c r="M44">
        <v>3.0190000000000001</v>
      </c>
      <c r="N44" s="14"/>
      <c r="O44" s="13"/>
    </row>
    <row r="45" spans="1:15" x14ac:dyDescent="0.25">
      <c r="A45" s="4">
        <v>43</v>
      </c>
      <c r="B45">
        <v>3.0070000000000001</v>
      </c>
      <c r="C45">
        <v>3.02</v>
      </c>
      <c r="D45">
        <v>3.0139999999999998</v>
      </c>
      <c r="E45">
        <v>3.0150000000000001</v>
      </c>
      <c r="F45">
        <v>2.9889999999999999</v>
      </c>
      <c r="G45">
        <v>3.0059999999999998</v>
      </c>
      <c r="H45">
        <v>3.0230000000000001</v>
      </c>
      <c r="I45">
        <v>2.992</v>
      </c>
      <c r="J45">
        <v>2.9870000000000001</v>
      </c>
      <c r="K45">
        <v>3.01</v>
      </c>
      <c r="L45">
        <v>2.9969999999999999</v>
      </c>
      <c r="M45">
        <v>2.9969999999999999</v>
      </c>
      <c r="N45" s="14"/>
      <c r="O45" s="13"/>
    </row>
    <row r="46" spans="1:15" x14ac:dyDescent="0.25">
      <c r="A46" s="4">
        <v>44</v>
      </c>
      <c r="B46"/>
      <c r="C46"/>
      <c r="D46"/>
      <c r="E46"/>
      <c r="F46"/>
      <c r="G46"/>
      <c r="H46">
        <v>2.9940000000000002</v>
      </c>
      <c r="I46">
        <v>2.984</v>
      </c>
      <c r="J46">
        <v>2.9710000000000001</v>
      </c>
      <c r="K46">
        <v>2.9780000000000002</v>
      </c>
      <c r="L46">
        <v>2.9790000000000001</v>
      </c>
      <c r="M46">
        <v>2.9729999999999999</v>
      </c>
      <c r="N46" s="14"/>
      <c r="O46" s="13"/>
    </row>
    <row r="47" spans="1:15" x14ac:dyDescent="0.25">
      <c r="A47" s="4">
        <v>45</v>
      </c>
      <c r="B47">
        <v>2.9860000000000002</v>
      </c>
      <c r="C47">
        <v>2.9940000000000002</v>
      </c>
      <c r="D47">
        <v>3.004</v>
      </c>
      <c r="E47">
        <v>2.9980000000000002</v>
      </c>
      <c r="F47">
        <v>3.016</v>
      </c>
      <c r="G47">
        <v>2.9969999999999999</v>
      </c>
      <c r="H47">
        <v>2.9809999999999999</v>
      </c>
      <c r="I47">
        <v>3.008</v>
      </c>
      <c r="J47">
        <v>3.0289999999999999</v>
      </c>
      <c r="K47">
        <v>2.9929999999999999</v>
      </c>
      <c r="L47">
        <v>2.992</v>
      </c>
      <c r="M47">
        <v>3.0030000000000001</v>
      </c>
      <c r="N47" s="14"/>
      <c r="O47" s="13"/>
    </row>
    <row r="48" spans="1:15" x14ac:dyDescent="0.25">
      <c r="A48" s="4">
        <v>46</v>
      </c>
      <c r="B48">
        <v>3.0009999999999999</v>
      </c>
      <c r="C48">
        <v>3.0150000000000001</v>
      </c>
      <c r="D48">
        <v>3.0310000000000001</v>
      </c>
      <c r="E48">
        <v>2.9969999999999999</v>
      </c>
      <c r="F48">
        <v>3.0150000000000001</v>
      </c>
      <c r="G48">
        <v>2.9969999999999999</v>
      </c>
      <c r="H48">
        <v>2.99</v>
      </c>
      <c r="I48">
        <v>3.0369999999999999</v>
      </c>
      <c r="J48">
        <v>3.0190000000000001</v>
      </c>
      <c r="K48">
        <v>3.0049999999999999</v>
      </c>
      <c r="L48">
        <v>3.0009999999999999</v>
      </c>
      <c r="M48">
        <v>3.0019999999999998</v>
      </c>
      <c r="N48" s="14"/>
      <c r="O48" s="13"/>
    </row>
    <row r="49" spans="1:15" x14ac:dyDescent="0.25">
      <c r="A49" s="4">
        <v>47</v>
      </c>
      <c r="B49">
        <v>2.9820000000000002</v>
      </c>
      <c r="C49">
        <v>2.9929999999999999</v>
      </c>
      <c r="D49">
        <v>3.0089999999999999</v>
      </c>
      <c r="E49">
        <v>3.0019999999999998</v>
      </c>
      <c r="F49">
        <v>3</v>
      </c>
      <c r="G49">
        <v>3.0110000000000001</v>
      </c>
      <c r="H49">
        <v>2.9980000000000002</v>
      </c>
      <c r="I49">
        <v>2.9929999999999999</v>
      </c>
      <c r="J49">
        <v>2.984</v>
      </c>
      <c r="K49">
        <v>3.016</v>
      </c>
      <c r="L49">
        <v>3.004</v>
      </c>
      <c r="M49">
        <v>3.0059999999999998</v>
      </c>
      <c r="N49" s="14"/>
      <c r="O49" s="13"/>
    </row>
    <row r="50" spans="1:15" x14ac:dyDescent="0.25">
      <c r="A50" s="4">
        <v>48</v>
      </c>
      <c r="B50">
        <v>3.0219999999999998</v>
      </c>
      <c r="C50">
        <v>3</v>
      </c>
      <c r="D50">
        <v>2.992</v>
      </c>
      <c r="E50">
        <v>2.988</v>
      </c>
      <c r="F50">
        <v>2.9820000000000002</v>
      </c>
      <c r="G50">
        <v>2.9889999999999999</v>
      </c>
      <c r="H50">
        <v>2.9820000000000002</v>
      </c>
      <c r="I50">
        <v>3.0059999999999998</v>
      </c>
      <c r="J50">
        <v>2.9870000000000001</v>
      </c>
      <c r="K50">
        <v>3.004</v>
      </c>
      <c r="L50">
        <v>2.9940000000000002</v>
      </c>
      <c r="M50">
        <v>2.9860000000000002</v>
      </c>
      <c r="N50" s="14"/>
      <c r="O50" s="13"/>
    </row>
    <row r="51" spans="1:15" x14ac:dyDescent="0.25">
      <c r="A51" s="4">
        <v>49</v>
      </c>
      <c r="B51">
        <v>3.0059999999999998</v>
      </c>
      <c r="C51">
        <v>3</v>
      </c>
      <c r="D51">
        <v>2.992</v>
      </c>
      <c r="E51">
        <v>3.0009999999999999</v>
      </c>
      <c r="F51">
        <v>2.992</v>
      </c>
      <c r="G51">
        <v>3.004</v>
      </c>
      <c r="H51">
        <v>3.01</v>
      </c>
      <c r="I51">
        <v>2.9969999999999999</v>
      </c>
      <c r="J51">
        <v>2.988</v>
      </c>
      <c r="K51">
        <v>2.9980000000000002</v>
      </c>
      <c r="L51">
        <v>3.016</v>
      </c>
      <c r="M51">
        <v>3.012</v>
      </c>
      <c r="N51" s="14"/>
      <c r="O51" s="13"/>
    </row>
    <row r="52" spans="1:15" x14ac:dyDescent="0.25">
      <c r="A52" s="4">
        <v>50</v>
      </c>
      <c r="B52">
        <v>2.9820000000000002</v>
      </c>
      <c r="C52">
        <v>2.9820000000000002</v>
      </c>
      <c r="D52">
        <v>2.996</v>
      </c>
      <c r="E52">
        <v>2.996</v>
      </c>
      <c r="F52">
        <v>2.9950000000000001</v>
      </c>
      <c r="G52">
        <v>2.9929999999999999</v>
      </c>
      <c r="H52">
        <v>3.0259999999999998</v>
      </c>
      <c r="I52">
        <v>3.0129999999999999</v>
      </c>
      <c r="J52">
        <v>3.0089999999999999</v>
      </c>
      <c r="K52">
        <v>2.9860000000000002</v>
      </c>
      <c r="L52">
        <v>3.012</v>
      </c>
      <c r="M52">
        <v>3.008</v>
      </c>
      <c r="N52" s="14"/>
      <c r="O52" s="13"/>
    </row>
    <row r="53" spans="1:15" ht="13.5" customHeight="1" x14ac:dyDescent="0.25">
      <c r="A53" s="4">
        <v>51</v>
      </c>
      <c r="B53">
        <v>2.9550000000000001</v>
      </c>
      <c r="C53">
        <v>2.9689999999999999</v>
      </c>
      <c r="D53">
        <v>2.9630000000000001</v>
      </c>
      <c r="E53">
        <v>2.964</v>
      </c>
      <c r="F53">
        <v>2.96</v>
      </c>
      <c r="G53">
        <v>3.0070000000000001</v>
      </c>
      <c r="H53">
        <v>3.0030000000000001</v>
      </c>
      <c r="I53">
        <v>3.02</v>
      </c>
      <c r="J53">
        <v>3.0209999999999999</v>
      </c>
      <c r="K53">
        <v>3.0009999999999999</v>
      </c>
      <c r="L53">
        <v>3.0139999999999998</v>
      </c>
      <c r="M53">
        <v>2.9990000000000001</v>
      </c>
      <c r="N53" s="14"/>
      <c r="O53" s="13"/>
    </row>
    <row r="54" spans="1:15" x14ac:dyDescent="0.25">
      <c r="A54" s="4">
        <v>52</v>
      </c>
      <c r="B54">
        <v>2.9980000000000002</v>
      </c>
      <c r="C54">
        <v>2.9980000000000002</v>
      </c>
      <c r="D54">
        <v>2.9830000000000001</v>
      </c>
      <c r="E54">
        <v>3.024</v>
      </c>
      <c r="F54">
        <v>3.004</v>
      </c>
      <c r="G54">
        <v>2.9689999999999999</v>
      </c>
      <c r="H54">
        <v>2.9790000000000001</v>
      </c>
      <c r="I54">
        <v>2.99</v>
      </c>
      <c r="J54">
        <v>2.99</v>
      </c>
      <c r="K54">
        <v>2.9980000000000002</v>
      </c>
      <c r="L54">
        <v>2.976</v>
      </c>
      <c r="M54">
        <v>2.976</v>
      </c>
      <c r="N54" s="14"/>
      <c r="O54" s="13"/>
    </row>
    <row r="55" spans="1:15" x14ac:dyDescent="0.25">
      <c r="A55" s="4">
        <v>53</v>
      </c>
      <c r="B55">
        <v>3.0289999999999999</v>
      </c>
      <c r="C55">
        <v>3.0089999999999999</v>
      </c>
      <c r="D55">
        <v>3.0110000000000001</v>
      </c>
      <c r="E55">
        <v>3.0270000000000001</v>
      </c>
      <c r="F55">
        <v>3.0139999999999998</v>
      </c>
      <c r="G55">
        <v>3.0139999999999998</v>
      </c>
      <c r="H55"/>
      <c r="I55"/>
      <c r="J55"/>
      <c r="K55"/>
      <c r="L55"/>
      <c r="M55"/>
      <c r="N55" s="14"/>
      <c r="O55" s="13"/>
    </row>
    <row r="56" spans="1:15" x14ac:dyDescent="0.25">
      <c r="A56" s="4">
        <v>54</v>
      </c>
      <c r="B56">
        <v>2.976</v>
      </c>
      <c r="C56">
        <v>2.9929999999999999</v>
      </c>
      <c r="D56">
        <v>2.9710000000000001</v>
      </c>
      <c r="E56">
        <v>2.964</v>
      </c>
      <c r="F56">
        <v>2.9790000000000001</v>
      </c>
      <c r="G56">
        <v>2.9710000000000001</v>
      </c>
      <c r="H56">
        <v>3.01</v>
      </c>
      <c r="I56">
        <v>2.9780000000000002</v>
      </c>
      <c r="J56">
        <v>3.0129999999999999</v>
      </c>
      <c r="K56">
        <v>2.9889999999999999</v>
      </c>
      <c r="L56">
        <v>2.9849999999999999</v>
      </c>
      <c r="M56">
        <v>3</v>
      </c>
      <c r="N56" s="14"/>
      <c r="O56" s="13"/>
    </row>
    <row r="57" spans="1:15" x14ac:dyDescent="0.25">
      <c r="A57" s="4">
        <v>55</v>
      </c>
      <c r="B57">
        <v>3.0009999999999999</v>
      </c>
      <c r="C57">
        <v>2.9929999999999999</v>
      </c>
      <c r="D57">
        <v>2.99</v>
      </c>
      <c r="E57">
        <v>2.9929999999999999</v>
      </c>
      <c r="F57">
        <v>2.99</v>
      </c>
      <c r="G57">
        <v>2.9780000000000002</v>
      </c>
      <c r="H57">
        <v>3.0009999999999999</v>
      </c>
      <c r="I57">
        <v>2.9809999999999999</v>
      </c>
      <c r="J57">
        <v>2.996</v>
      </c>
      <c r="K57">
        <v>3.0169999999999999</v>
      </c>
      <c r="L57">
        <v>3</v>
      </c>
      <c r="M57">
        <v>2.99</v>
      </c>
      <c r="N57" s="14"/>
      <c r="O57" s="13"/>
    </row>
    <row r="58" spans="1:15" x14ac:dyDescent="0.25">
      <c r="A58" s="4">
        <v>56</v>
      </c>
      <c r="B58">
        <v>3.0059999999999998</v>
      </c>
      <c r="C58">
        <v>3.008</v>
      </c>
      <c r="D58">
        <v>3.0070000000000001</v>
      </c>
      <c r="E58">
        <v>2.9780000000000002</v>
      </c>
      <c r="F58">
        <v>3.004</v>
      </c>
      <c r="G58">
        <v>3.028</v>
      </c>
      <c r="H58">
        <v>2.9910000000000001</v>
      </c>
      <c r="I58">
        <v>3.0329999999999999</v>
      </c>
      <c r="J58">
        <v>3.0190000000000001</v>
      </c>
      <c r="K58">
        <v>2.9889999999999999</v>
      </c>
      <c r="L58">
        <v>3.0139999999999998</v>
      </c>
      <c r="M58">
        <v>3.02</v>
      </c>
      <c r="N58" s="14"/>
      <c r="O58" s="13"/>
    </row>
    <row r="59" spans="1:15" x14ac:dyDescent="0.25">
      <c r="A59" s="4">
        <v>57</v>
      </c>
      <c r="B59">
        <v>2.9889999999999999</v>
      </c>
      <c r="C59">
        <v>2.992</v>
      </c>
      <c r="D59">
        <v>3.0070000000000001</v>
      </c>
      <c r="E59">
        <v>2.956</v>
      </c>
      <c r="F59">
        <v>2.9950000000000001</v>
      </c>
      <c r="G59">
        <v>3.0009999999999999</v>
      </c>
      <c r="H59">
        <v>2.996</v>
      </c>
      <c r="I59">
        <v>3.032</v>
      </c>
      <c r="J59">
        <v>2.9940000000000002</v>
      </c>
      <c r="K59">
        <v>3.0129999999999999</v>
      </c>
      <c r="L59">
        <v>2.996</v>
      </c>
      <c r="M59">
        <v>3</v>
      </c>
      <c r="N59" s="14"/>
      <c r="O59" s="13"/>
    </row>
    <row r="60" spans="1:15" x14ac:dyDescent="0.25">
      <c r="A60" s="4">
        <v>58</v>
      </c>
      <c r="B60">
        <v>3.0179999999999998</v>
      </c>
      <c r="C60">
        <v>3.004</v>
      </c>
      <c r="D60">
        <v>3.0190000000000001</v>
      </c>
      <c r="E60">
        <v>3.0190000000000001</v>
      </c>
      <c r="F60">
        <v>3.0049999999999999</v>
      </c>
      <c r="G60">
        <v>3.0070000000000001</v>
      </c>
      <c r="H60">
        <v>2.9849999999999999</v>
      </c>
      <c r="I60">
        <v>2.9510000000000001</v>
      </c>
      <c r="J60">
        <v>2.9790000000000001</v>
      </c>
      <c r="K60">
        <v>2.9830000000000001</v>
      </c>
      <c r="L60">
        <v>2.976</v>
      </c>
      <c r="M60">
        <v>2.968</v>
      </c>
      <c r="N60" s="14"/>
      <c r="O60" s="13"/>
    </row>
    <row r="61" spans="1:15" x14ac:dyDescent="0.25">
      <c r="A61" s="4">
        <v>59</v>
      </c>
      <c r="B61">
        <v>3.0190000000000001</v>
      </c>
      <c r="C61">
        <v>3.0129999999999999</v>
      </c>
      <c r="D61">
        <v>3.0209999999999999</v>
      </c>
      <c r="E61">
        <v>3.0190000000000001</v>
      </c>
      <c r="F61">
        <v>3.0219999999999998</v>
      </c>
      <c r="G61">
        <v>3.004</v>
      </c>
      <c r="H61">
        <v>3</v>
      </c>
      <c r="I61">
        <v>2.9830000000000001</v>
      </c>
      <c r="J61">
        <v>2.9889999999999999</v>
      </c>
      <c r="K61">
        <v>3</v>
      </c>
      <c r="L61">
        <v>3.0049999999999999</v>
      </c>
      <c r="M61">
        <v>2.9950000000000001</v>
      </c>
      <c r="N61" s="14"/>
      <c r="O61" s="13"/>
    </row>
    <row r="62" spans="1:15" x14ac:dyDescent="0.25">
      <c r="A62" s="4">
        <v>60</v>
      </c>
      <c r="B62">
        <v>2.9849999999999999</v>
      </c>
      <c r="C62">
        <v>3.0030000000000001</v>
      </c>
      <c r="D62">
        <v>3.0139999999999998</v>
      </c>
      <c r="E62">
        <v>3.0169999999999999</v>
      </c>
      <c r="F62">
        <v>3.01</v>
      </c>
      <c r="G62">
        <v>2.9830000000000001</v>
      </c>
      <c r="H62">
        <v>3.0179999999999998</v>
      </c>
      <c r="I62">
        <v>2.996</v>
      </c>
      <c r="J62">
        <v>3.0230000000000001</v>
      </c>
      <c r="K62">
        <v>2.9940000000000002</v>
      </c>
      <c r="L62">
        <v>3.0139999999999998</v>
      </c>
      <c r="M62">
        <v>3.0009999999999999</v>
      </c>
      <c r="N62" s="14"/>
      <c r="O62" s="13"/>
    </row>
    <row r="63" spans="1:15" x14ac:dyDescent="0.25">
      <c r="A63" s="4">
        <v>61</v>
      </c>
      <c r="B63">
        <v>2.9929999999999999</v>
      </c>
      <c r="C63">
        <v>3.0169999999999999</v>
      </c>
      <c r="D63">
        <v>3.0110000000000001</v>
      </c>
      <c r="E63">
        <v>3.0019999999999998</v>
      </c>
      <c r="F63">
        <v>3.0019999999999998</v>
      </c>
      <c r="G63">
        <v>3.0139999999999998</v>
      </c>
      <c r="H63">
        <v>3.0009999999999999</v>
      </c>
      <c r="I63">
        <v>2.9929999999999999</v>
      </c>
      <c r="J63">
        <v>3.0049999999999999</v>
      </c>
      <c r="K63">
        <v>2.9849999999999999</v>
      </c>
      <c r="L63">
        <v>3.0070000000000001</v>
      </c>
      <c r="M63">
        <v>3.0030000000000001</v>
      </c>
      <c r="N63" s="14"/>
      <c r="O63" s="13"/>
    </row>
    <row r="64" spans="1:15" x14ac:dyDescent="0.25">
      <c r="A64" s="4">
        <v>62</v>
      </c>
      <c r="B64">
        <v>3.016</v>
      </c>
      <c r="C64">
        <v>3.024</v>
      </c>
      <c r="D64">
        <v>2.9969999999999999</v>
      </c>
      <c r="E64">
        <v>3.012</v>
      </c>
      <c r="F64">
        <v>3.0339999999999998</v>
      </c>
      <c r="G64">
        <v>3.0430000000000001</v>
      </c>
      <c r="H64"/>
      <c r="I64"/>
      <c r="J64"/>
      <c r="K64"/>
      <c r="L64"/>
      <c r="M64"/>
      <c r="N64" s="14"/>
      <c r="O64" s="13"/>
    </row>
    <row r="65" spans="1:15" x14ac:dyDescent="0.25">
      <c r="A65" s="4">
        <v>63</v>
      </c>
      <c r="B65">
        <v>2.9860000000000002</v>
      </c>
      <c r="C65">
        <v>2.9740000000000002</v>
      </c>
      <c r="D65">
        <v>2.9540000000000002</v>
      </c>
      <c r="E65">
        <v>2.9740000000000002</v>
      </c>
      <c r="F65">
        <v>3</v>
      </c>
      <c r="G65">
        <v>2.992</v>
      </c>
      <c r="H65">
        <v>2.9929999999999999</v>
      </c>
      <c r="I65">
        <v>2.988</v>
      </c>
      <c r="J65">
        <v>2.9870000000000001</v>
      </c>
      <c r="K65">
        <v>3.01</v>
      </c>
      <c r="L65">
        <v>3.004</v>
      </c>
      <c r="M65">
        <v>3.0230000000000001</v>
      </c>
      <c r="N65" s="14"/>
      <c r="O65" s="13"/>
    </row>
    <row r="66" spans="1:15" x14ac:dyDescent="0.25">
      <c r="A66" s="4">
        <v>64</v>
      </c>
      <c r="B66">
        <v>3.0070000000000001</v>
      </c>
      <c r="C66">
        <v>2.9929999999999999</v>
      </c>
      <c r="D66">
        <v>2.9630000000000001</v>
      </c>
      <c r="E66">
        <v>2.9729999999999999</v>
      </c>
      <c r="F66">
        <v>2.9809999999999999</v>
      </c>
      <c r="G66">
        <v>3.0059999999999998</v>
      </c>
      <c r="H66">
        <v>2.9910000000000001</v>
      </c>
      <c r="I66">
        <v>2.9750000000000001</v>
      </c>
      <c r="J66">
        <v>2.97</v>
      </c>
      <c r="K66">
        <v>2.992</v>
      </c>
      <c r="L66">
        <v>2.9849999999999999</v>
      </c>
      <c r="M66">
        <v>2.9729999999999999</v>
      </c>
      <c r="N66" s="14"/>
      <c r="O66" s="13"/>
    </row>
    <row r="67" spans="1:15" x14ac:dyDescent="0.25">
      <c r="A67" s="4">
        <v>65</v>
      </c>
      <c r="B67">
        <v>3.012</v>
      </c>
      <c r="C67">
        <v>2.9780000000000002</v>
      </c>
      <c r="D67">
        <v>2.9740000000000002</v>
      </c>
      <c r="E67">
        <v>2.9820000000000002</v>
      </c>
      <c r="F67">
        <v>3.0009999999999999</v>
      </c>
      <c r="G67">
        <v>3.0009999999999999</v>
      </c>
      <c r="H67">
        <v>3.0070000000000001</v>
      </c>
      <c r="I67">
        <v>3.0390000000000001</v>
      </c>
      <c r="J67">
        <v>3.01</v>
      </c>
      <c r="K67">
        <v>3.0350000000000001</v>
      </c>
      <c r="L67">
        <v>3.0129999999999999</v>
      </c>
      <c r="M67">
        <v>3</v>
      </c>
      <c r="N67" s="14"/>
      <c r="O67" s="13"/>
    </row>
    <row r="68" spans="1:15" x14ac:dyDescent="0.25">
      <c r="A68" s="4">
        <v>66</v>
      </c>
      <c r="B68">
        <v>2.9849999999999999</v>
      </c>
      <c r="C68">
        <v>3.0019999999999998</v>
      </c>
      <c r="D68">
        <v>3.0059999999999998</v>
      </c>
      <c r="E68">
        <v>3.0019999999999998</v>
      </c>
      <c r="F68">
        <v>3.0179999999999998</v>
      </c>
      <c r="G68">
        <v>3.0030000000000001</v>
      </c>
      <c r="H68">
        <v>3.012</v>
      </c>
      <c r="I68">
        <v>3.0310000000000001</v>
      </c>
      <c r="J68">
        <v>3.0270000000000001</v>
      </c>
      <c r="K68">
        <v>3.01</v>
      </c>
      <c r="L68">
        <v>2.992</v>
      </c>
      <c r="M68">
        <v>2.996</v>
      </c>
      <c r="N68" s="14"/>
      <c r="O68" s="13"/>
    </row>
    <row r="69" spans="1:15" x14ac:dyDescent="0.25">
      <c r="A69" s="4">
        <v>67</v>
      </c>
      <c r="B69">
        <v>2.97</v>
      </c>
      <c r="C69">
        <v>2.9990000000000001</v>
      </c>
      <c r="D69">
        <v>3.0139999999999998</v>
      </c>
      <c r="E69">
        <v>2.988</v>
      </c>
      <c r="F69">
        <v>2.9860000000000002</v>
      </c>
      <c r="G69">
        <v>3</v>
      </c>
      <c r="H69">
        <v>2.9929999999999999</v>
      </c>
      <c r="I69">
        <v>2.9780000000000002</v>
      </c>
      <c r="J69">
        <v>2.992</v>
      </c>
      <c r="K69">
        <v>3.0070000000000001</v>
      </c>
      <c r="L69">
        <v>3.008</v>
      </c>
      <c r="M69">
        <v>2.9950000000000001</v>
      </c>
      <c r="N69" s="14"/>
      <c r="O69" s="13"/>
    </row>
    <row r="70" spans="1:15" x14ac:dyDescent="0.25">
      <c r="A70" s="4">
        <v>68</v>
      </c>
      <c r="B70">
        <v>2.996</v>
      </c>
      <c r="C70">
        <v>2.996</v>
      </c>
      <c r="D70">
        <v>2.9940000000000002</v>
      </c>
      <c r="E70">
        <v>2.9870000000000001</v>
      </c>
      <c r="F70">
        <v>2.996</v>
      </c>
      <c r="G70">
        <v>2.9790000000000001</v>
      </c>
      <c r="H70">
        <v>2.984</v>
      </c>
      <c r="I70">
        <v>2.9929999999999999</v>
      </c>
      <c r="J70">
        <v>2.992</v>
      </c>
      <c r="K70">
        <v>3.0209999999999999</v>
      </c>
      <c r="L70">
        <v>2.9950000000000001</v>
      </c>
      <c r="M70">
        <v>3.0089999999999999</v>
      </c>
      <c r="N70" s="20"/>
      <c r="O70" s="13"/>
    </row>
    <row r="71" spans="1:15" x14ac:dyDescent="0.25">
      <c r="A71" s="4">
        <v>69</v>
      </c>
      <c r="B71">
        <v>3.0219999999999998</v>
      </c>
      <c r="C71">
        <v>3.0230000000000001</v>
      </c>
      <c r="D71">
        <v>3.024</v>
      </c>
      <c r="E71">
        <v>3.028</v>
      </c>
      <c r="F71">
        <v>3.0019999999999998</v>
      </c>
      <c r="G71">
        <v>2.996</v>
      </c>
      <c r="H71">
        <v>3.0259999999999998</v>
      </c>
      <c r="I71">
        <v>3.0209999999999999</v>
      </c>
      <c r="J71">
        <v>2.9809999999999999</v>
      </c>
      <c r="K71">
        <v>3.0009999999999999</v>
      </c>
      <c r="L71">
        <v>3.0070000000000001</v>
      </c>
      <c r="M71">
        <v>3.0110000000000001</v>
      </c>
      <c r="N71" s="14"/>
      <c r="O71" s="13"/>
    </row>
    <row r="72" spans="1:15" x14ac:dyDescent="0.25">
      <c r="A72" s="4">
        <v>70</v>
      </c>
      <c r="B72">
        <v>2.98</v>
      </c>
      <c r="C72">
        <v>2.988</v>
      </c>
      <c r="D72">
        <v>2.9940000000000002</v>
      </c>
      <c r="E72">
        <v>3.008</v>
      </c>
      <c r="F72">
        <v>2.9870000000000001</v>
      </c>
      <c r="G72">
        <v>2.9969999999999999</v>
      </c>
      <c r="H72">
        <v>3.008</v>
      </c>
      <c r="I72">
        <v>2.9849999999999999</v>
      </c>
      <c r="J72">
        <v>2.9940000000000002</v>
      </c>
      <c r="K72">
        <v>2.9830000000000001</v>
      </c>
      <c r="L72">
        <v>2.98</v>
      </c>
      <c r="M72">
        <v>2.9820000000000002</v>
      </c>
      <c r="N72" s="14"/>
      <c r="O72" s="13"/>
    </row>
    <row r="73" spans="1:15" x14ac:dyDescent="0.25">
      <c r="A73" s="4">
        <v>71</v>
      </c>
      <c r="B73">
        <v>2.972</v>
      </c>
      <c r="C73">
        <v>2.97</v>
      </c>
      <c r="D73">
        <v>2.9689999999999999</v>
      </c>
      <c r="E73">
        <v>3.0049999999999999</v>
      </c>
      <c r="F73">
        <v>3.0049999999999999</v>
      </c>
      <c r="G73">
        <v>2.9940000000000002</v>
      </c>
      <c r="H73">
        <v>2.9940000000000002</v>
      </c>
      <c r="I73">
        <v>2.9750000000000001</v>
      </c>
      <c r="J73">
        <v>2.9929999999999999</v>
      </c>
      <c r="K73">
        <v>3.0110000000000001</v>
      </c>
      <c r="L73">
        <v>2.988</v>
      </c>
      <c r="M73">
        <v>2.9910000000000001</v>
      </c>
      <c r="N73" s="14"/>
      <c r="O73" s="13"/>
    </row>
    <row r="74" spans="1:15" x14ac:dyDescent="0.25">
      <c r="A74" s="4">
        <v>72</v>
      </c>
      <c r="B74"/>
      <c r="C74"/>
      <c r="D74"/>
      <c r="E74"/>
      <c r="F74"/>
      <c r="G74"/>
      <c r="H74">
        <v>2.9830000000000001</v>
      </c>
      <c r="I74">
        <v>2.9830000000000001</v>
      </c>
      <c r="J74">
        <v>2.9849999999999999</v>
      </c>
      <c r="K74">
        <v>2.964</v>
      </c>
      <c r="L74">
        <v>3.0110000000000001</v>
      </c>
      <c r="M74">
        <v>2.9990000000000001</v>
      </c>
      <c r="N74" s="14"/>
      <c r="O74" s="13"/>
    </row>
    <row r="75" spans="1:15" x14ac:dyDescent="0.25">
      <c r="A75" s="4">
        <v>73</v>
      </c>
      <c r="B75">
        <v>3.0369999999999999</v>
      </c>
      <c r="C75">
        <v>3.0150000000000001</v>
      </c>
      <c r="D75">
        <v>2.9990000000000001</v>
      </c>
      <c r="E75">
        <v>3.008</v>
      </c>
      <c r="F75">
        <v>2.9910000000000001</v>
      </c>
      <c r="G75">
        <v>3.0139999999999998</v>
      </c>
      <c r="H75">
        <v>2.988</v>
      </c>
      <c r="I75">
        <v>3.0289999999999999</v>
      </c>
      <c r="J75">
        <v>2.9969999999999999</v>
      </c>
      <c r="K75">
        <v>2.9790000000000001</v>
      </c>
      <c r="L75">
        <v>3.004</v>
      </c>
      <c r="M75">
        <v>3</v>
      </c>
      <c r="N75" s="14"/>
      <c r="O75" s="13"/>
    </row>
    <row r="76" spans="1:15" x14ac:dyDescent="0.25">
      <c r="A76" s="4">
        <v>74</v>
      </c>
      <c r="B76">
        <v>3.0179999999999998</v>
      </c>
      <c r="C76">
        <v>3.0070000000000001</v>
      </c>
      <c r="D76">
        <v>2.9950000000000001</v>
      </c>
      <c r="E76">
        <v>2.992</v>
      </c>
      <c r="F76">
        <v>2.9940000000000002</v>
      </c>
      <c r="G76">
        <v>3.0009999999999999</v>
      </c>
      <c r="H76">
        <v>3.0070000000000001</v>
      </c>
      <c r="I76">
        <v>3.0289999999999999</v>
      </c>
      <c r="J76">
        <v>3.028</v>
      </c>
      <c r="K76">
        <v>3.0190000000000001</v>
      </c>
      <c r="L76">
        <v>3.0259999999999998</v>
      </c>
      <c r="M76">
        <v>3.0139999999999998</v>
      </c>
      <c r="N76" s="14"/>
      <c r="O76" s="13"/>
    </row>
    <row r="77" spans="1:15" x14ac:dyDescent="0.25">
      <c r="A77" s="4">
        <v>75</v>
      </c>
      <c r="B77">
        <v>2.9769999999999999</v>
      </c>
      <c r="C77">
        <v>3.0030000000000001</v>
      </c>
      <c r="D77">
        <v>2.9910000000000001</v>
      </c>
      <c r="E77">
        <v>2.9969999999999999</v>
      </c>
      <c r="F77">
        <v>3.0139999999999998</v>
      </c>
      <c r="G77">
        <v>2.992</v>
      </c>
      <c r="H77">
        <v>2.992</v>
      </c>
      <c r="I77">
        <v>2.9849999999999999</v>
      </c>
      <c r="J77">
        <v>2.9990000000000001</v>
      </c>
      <c r="K77">
        <v>2.9950000000000001</v>
      </c>
      <c r="L77">
        <v>2.9929999999999999</v>
      </c>
      <c r="M77">
        <v>3.0030000000000001</v>
      </c>
      <c r="N77" s="14"/>
      <c r="O77" s="13"/>
    </row>
    <row r="78" spans="1:15" x14ac:dyDescent="0.25">
      <c r="A78" s="4">
        <v>76</v>
      </c>
      <c r="B78">
        <v>2.9910000000000001</v>
      </c>
      <c r="C78">
        <v>2.992</v>
      </c>
      <c r="D78">
        <v>2.9950000000000001</v>
      </c>
      <c r="E78">
        <v>2.988</v>
      </c>
      <c r="F78">
        <v>2.9940000000000002</v>
      </c>
      <c r="G78">
        <v>3.016</v>
      </c>
      <c r="H78">
        <v>3.0030000000000001</v>
      </c>
      <c r="I78">
        <v>2.9849999999999999</v>
      </c>
      <c r="J78">
        <v>3.0179999999999998</v>
      </c>
      <c r="K78">
        <v>2.9790000000000001</v>
      </c>
      <c r="L78">
        <v>3.0089999999999999</v>
      </c>
      <c r="M78">
        <v>3.008</v>
      </c>
      <c r="N78" s="14"/>
      <c r="O78" s="13"/>
    </row>
    <row r="79" spans="1:15" x14ac:dyDescent="0.25">
      <c r="A79" s="4">
        <v>77</v>
      </c>
      <c r="B79">
        <v>3.0059999999999998</v>
      </c>
      <c r="C79">
        <v>3.0009999999999999</v>
      </c>
      <c r="D79">
        <v>2.9990000000000001</v>
      </c>
      <c r="E79">
        <v>3.0049999999999999</v>
      </c>
      <c r="F79">
        <v>2.9860000000000002</v>
      </c>
      <c r="G79">
        <v>2.9729999999999999</v>
      </c>
      <c r="H79">
        <v>3.008</v>
      </c>
      <c r="I79">
        <v>3.0059999999999998</v>
      </c>
      <c r="J79">
        <v>3.0089999999999999</v>
      </c>
      <c r="K79">
        <v>3.012</v>
      </c>
      <c r="L79">
        <v>3.0070000000000001</v>
      </c>
      <c r="M79">
        <v>3.0129999999999999</v>
      </c>
      <c r="N79" s="14"/>
      <c r="O79" s="13"/>
    </row>
    <row r="80" spans="1:15" x14ac:dyDescent="0.25">
      <c r="A80" s="4">
        <v>78</v>
      </c>
      <c r="B80">
        <v>3.024</v>
      </c>
      <c r="C80">
        <v>3.0089999999999999</v>
      </c>
      <c r="D80">
        <v>3.0059999999999998</v>
      </c>
      <c r="E80">
        <v>3.0190000000000001</v>
      </c>
      <c r="F80">
        <v>3.01</v>
      </c>
      <c r="G80">
        <v>2.9969999999999999</v>
      </c>
      <c r="H80">
        <v>2.9940000000000002</v>
      </c>
      <c r="I80">
        <v>2.988</v>
      </c>
      <c r="J80">
        <v>2.99</v>
      </c>
      <c r="K80">
        <v>3.0190000000000001</v>
      </c>
      <c r="L80">
        <v>2.9769999999999999</v>
      </c>
      <c r="M80">
        <v>3.004</v>
      </c>
      <c r="N80" s="14"/>
      <c r="O80" s="13"/>
    </row>
    <row r="81" spans="1:15" x14ac:dyDescent="0.25">
      <c r="A81" s="4">
        <v>79</v>
      </c>
      <c r="B81">
        <v>2.996</v>
      </c>
      <c r="C81">
        <v>3</v>
      </c>
      <c r="D81">
        <v>2.9969999999999999</v>
      </c>
      <c r="E81">
        <v>2.9870000000000001</v>
      </c>
      <c r="F81">
        <v>2.9940000000000002</v>
      </c>
      <c r="G81">
        <v>3.0009999999999999</v>
      </c>
      <c r="H81">
        <v>3.0059999999999998</v>
      </c>
      <c r="I81">
        <v>2.9849999999999999</v>
      </c>
      <c r="J81">
        <v>2.992</v>
      </c>
      <c r="K81">
        <v>2.9660000000000002</v>
      </c>
      <c r="L81">
        <v>2.98</v>
      </c>
      <c r="M81">
        <v>2.9940000000000002</v>
      </c>
      <c r="N81" s="14"/>
      <c r="O81" s="13"/>
    </row>
    <row r="82" spans="1:15" ht="17.25" customHeight="1" x14ac:dyDescent="0.25">
      <c r="A82" s="4">
        <v>80</v>
      </c>
      <c r="B82"/>
      <c r="C82"/>
      <c r="D82"/>
      <c r="E82"/>
      <c r="F82"/>
      <c r="G82"/>
      <c r="H82">
        <v>3</v>
      </c>
      <c r="I82">
        <v>3.01</v>
      </c>
      <c r="J82">
        <v>2.9870000000000001</v>
      </c>
      <c r="K82">
        <v>2.996</v>
      </c>
      <c r="L82">
        <v>3.0179999999999998</v>
      </c>
      <c r="M82">
        <v>2.976</v>
      </c>
      <c r="N82" s="14"/>
      <c r="O82" s="13"/>
    </row>
    <row r="83" spans="1:15" ht="18.75" customHeight="1" x14ac:dyDescent="0.25">
      <c r="A83" s="4">
        <v>81</v>
      </c>
      <c r="B83">
        <v>3.0030000000000001</v>
      </c>
      <c r="C83">
        <v>2.996</v>
      </c>
      <c r="D83">
        <v>2.9969999999999999</v>
      </c>
      <c r="E83">
        <v>2.9969999999999999</v>
      </c>
      <c r="F83">
        <v>3.0070000000000001</v>
      </c>
      <c r="G83">
        <v>3.0190000000000001</v>
      </c>
      <c r="H83">
        <v>2.9929999999999999</v>
      </c>
      <c r="I83">
        <v>3.0089999999999999</v>
      </c>
      <c r="J83">
        <v>2.99</v>
      </c>
      <c r="K83">
        <v>2.9860000000000002</v>
      </c>
      <c r="L83">
        <v>3.0129999999999999</v>
      </c>
      <c r="M83">
        <v>3.0019999999999998</v>
      </c>
      <c r="N83" s="14"/>
      <c r="O83" s="13"/>
    </row>
    <row r="84" spans="1:15" ht="15.75" customHeight="1" x14ac:dyDescent="0.25">
      <c r="A84" s="4">
        <v>82</v>
      </c>
      <c r="B84">
        <v>3.004</v>
      </c>
      <c r="C84">
        <v>3.008</v>
      </c>
      <c r="D84">
        <v>3.0190000000000001</v>
      </c>
      <c r="E84">
        <v>3.008</v>
      </c>
      <c r="F84">
        <v>3.0209999999999999</v>
      </c>
      <c r="G84">
        <v>3.024</v>
      </c>
      <c r="H84">
        <v>2.9980000000000002</v>
      </c>
      <c r="I84">
        <v>3.02</v>
      </c>
      <c r="J84">
        <v>3.0379999999999998</v>
      </c>
      <c r="K84">
        <v>3.0009999999999999</v>
      </c>
      <c r="L84">
        <v>2.9969999999999999</v>
      </c>
      <c r="M84">
        <v>3.0219999999999998</v>
      </c>
      <c r="N84" s="14"/>
      <c r="O84" s="13"/>
    </row>
    <row r="85" spans="1:15" ht="17.25" customHeight="1" x14ac:dyDescent="0.25">
      <c r="A85" s="4">
        <v>83</v>
      </c>
      <c r="B85">
        <v>3.0019999999999998</v>
      </c>
      <c r="C85">
        <v>3.012</v>
      </c>
      <c r="D85">
        <v>3.024</v>
      </c>
      <c r="E85">
        <v>3.0150000000000001</v>
      </c>
      <c r="F85">
        <v>3.0339999999999998</v>
      </c>
      <c r="G85">
        <v>3.0350000000000001</v>
      </c>
      <c r="H85">
        <v>3.0339999999999998</v>
      </c>
      <c r="I85">
        <v>3.0059999999999998</v>
      </c>
      <c r="J85">
        <v>3.0390000000000001</v>
      </c>
      <c r="K85">
        <v>3.0070000000000001</v>
      </c>
      <c r="L85">
        <v>3.0049999999999999</v>
      </c>
      <c r="M85">
        <v>3.012</v>
      </c>
      <c r="N85" s="14"/>
      <c r="O85" s="13"/>
    </row>
    <row r="86" spans="1:15" ht="16.5" customHeight="1" x14ac:dyDescent="0.25">
      <c r="A86" s="4">
        <v>84</v>
      </c>
      <c r="B86">
        <v>3.0259999999999998</v>
      </c>
      <c r="C86">
        <v>3.0190000000000001</v>
      </c>
      <c r="D86">
        <v>3.0049999999999999</v>
      </c>
      <c r="E86">
        <v>3.0179999999999998</v>
      </c>
      <c r="F86">
        <v>3.02</v>
      </c>
      <c r="G86">
        <v>3.0270000000000001</v>
      </c>
      <c r="H86"/>
      <c r="I86"/>
      <c r="J86"/>
      <c r="K86"/>
      <c r="L86"/>
      <c r="M86"/>
      <c r="N86" s="14"/>
      <c r="O86" s="13"/>
    </row>
    <row r="87" spans="1:15" ht="15.75" customHeight="1" x14ac:dyDescent="0.25">
      <c r="A87" s="4">
        <v>85</v>
      </c>
      <c r="B87">
        <v>3.02</v>
      </c>
      <c r="C87">
        <v>3.0070000000000001</v>
      </c>
      <c r="D87">
        <v>2.9980000000000002</v>
      </c>
      <c r="E87">
        <v>3.0249999999999999</v>
      </c>
      <c r="F87">
        <v>2.9940000000000002</v>
      </c>
      <c r="G87">
        <v>3.024</v>
      </c>
      <c r="H87">
        <v>3.0259999999999998</v>
      </c>
      <c r="I87">
        <v>3.0110000000000001</v>
      </c>
      <c r="J87">
        <v>3.044</v>
      </c>
      <c r="K87">
        <v>3.0259999999999998</v>
      </c>
      <c r="L87">
        <v>3.0190000000000001</v>
      </c>
      <c r="M87">
        <v>3.0129999999999999</v>
      </c>
      <c r="N87" s="14"/>
      <c r="O87" s="13"/>
    </row>
    <row r="88" spans="1:15" x14ac:dyDescent="0.25">
      <c r="A88" s="4">
        <v>86</v>
      </c>
      <c r="B88">
        <v>3.0030000000000001</v>
      </c>
      <c r="C88">
        <v>3.0059999999999998</v>
      </c>
      <c r="D88">
        <v>3.004</v>
      </c>
      <c r="E88">
        <v>2.988</v>
      </c>
      <c r="F88">
        <v>2.9910000000000001</v>
      </c>
      <c r="G88">
        <v>2.9849999999999999</v>
      </c>
      <c r="H88">
        <v>3.0329999999999999</v>
      </c>
      <c r="I88">
        <v>3.0179999999999998</v>
      </c>
      <c r="J88">
        <v>3.0249999999999999</v>
      </c>
      <c r="K88">
        <v>3.0070000000000001</v>
      </c>
      <c r="L88">
        <v>3.0310000000000001</v>
      </c>
      <c r="M88">
        <v>2.9990000000000001</v>
      </c>
      <c r="N88" s="14"/>
      <c r="O88" s="13"/>
    </row>
    <row r="89" spans="1:15" x14ac:dyDescent="0.25">
      <c r="A89" s="4">
        <v>87</v>
      </c>
      <c r="B89">
        <v>2.99</v>
      </c>
      <c r="C89">
        <v>3.0169999999999999</v>
      </c>
      <c r="D89">
        <v>3.0219999999999998</v>
      </c>
      <c r="E89">
        <v>2.992</v>
      </c>
      <c r="F89">
        <v>3.0209999999999999</v>
      </c>
      <c r="G89">
        <v>2.9849999999999999</v>
      </c>
      <c r="H89">
        <v>2.99</v>
      </c>
      <c r="I89">
        <v>2.9870000000000001</v>
      </c>
      <c r="J89">
        <v>2.9889999999999999</v>
      </c>
      <c r="K89">
        <v>2.9660000000000002</v>
      </c>
      <c r="L89">
        <v>2.976</v>
      </c>
      <c r="M89">
        <v>2.9830000000000001</v>
      </c>
      <c r="N89" s="14"/>
      <c r="O89" s="13"/>
    </row>
    <row r="90" spans="1:15" x14ac:dyDescent="0.25">
      <c r="A90" s="4">
        <v>88</v>
      </c>
      <c r="B90">
        <v>3.0110000000000001</v>
      </c>
      <c r="C90">
        <v>3.0089999999999999</v>
      </c>
      <c r="D90">
        <v>3.0009999999999999</v>
      </c>
      <c r="E90">
        <v>3.0209999999999999</v>
      </c>
      <c r="F90">
        <v>3.0019999999999998</v>
      </c>
      <c r="G90">
        <v>2.9929999999999999</v>
      </c>
      <c r="H90">
        <v>3</v>
      </c>
      <c r="I90">
        <v>2.9929999999999999</v>
      </c>
      <c r="J90">
        <v>2.9849999999999999</v>
      </c>
      <c r="K90">
        <v>2.9710000000000001</v>
      </c>
      <c r="L90">
        <v>2.984</v>
      </c>
      <c r="M90">
        <v>3.0019999999999998</v>
      </c>
      <c r="N90" s="14"/>
      <c r="O90" s="13"/>
    </row>
    <row r="91" spans="1:15" x14ac:dyDescent="0.25">
      <c r="A91" s="4">
        <v>89</v>
      </c>
      <c r="B91">
        <v>2.9990000000000001</v>
      </c>
      <c r="C91">
        <v>2.9940000000000002</v>
      </c>
      <c r="D91">
        <v>2.9860000000000002</v>
      </c>
      <c r="E91">
        <v>3.0110000000000001</v>
      </c>
      <c r="F91">
        <v>3.0139999999999998</v>
      </c>
      <c r="G91">
        <v>3.0009999999999999</v>
      </c>
      <c r="H91">
        <v>3.0019999999999998</v>
      </c>
      <c r="I91">
        <v>2.9940000000000002</v>
      </c>
      <c r="J91">
        <v>2.97</v>
      </c>
      <c r="K91">
        <v>2.9590000000000001</v>
      </c>
      <c r="L91">
        <v>2.992</v>
      </c>
      <c r="M91">
        <v>2.99</v>
      </c>
      <c r="N91" s="14"/>
      <c r="O91" s="13"/>
    </row>
    <row r="92" spans="1:15" x14ac:dyDescent="0.25">
      <c r="A92" s="4">
        <v>90</v>
      </c>
      <c r="B92">
        <v>2.9750000000000001</v>
      </c>
      <c r="C92">
        <v>2.9689999999999999</v>
      </c>
      <c r="D92">
        <v>3.0089999999999999</v>
      </c>
      <c r="E92">
        <v>2.96</v>
      </c>
      <c r="F92">
        <v>2.9889999999999999</v>
      </c>
      <c r="G92">
        <v>2.9889999999999999</v>
      </c>
      <c r="H92">
        <v>3.0459999999999998</v>
      </c>
      <c r="I92">
        <v>3.0289999999999999</v>
      </c>
      <c r="J92">
        <v>3.0419999999999998</v>
      </c>
      <c r="K92">
        <v>3.0489999999999999</v>
      </c>
      <c r="L92">
        <v>3.052</v>
      </c>
      <c r="M92">
        <v>3.0569999999999999</v>
      </c>
      <c r="N92" s="14"/>
      <c r="O92" s="13"/>
    </row>
    <row r="93" spans="1:15" x14ac:dyDescent="0.25">
      <c r="A93" s="4">
        <v>91</v>
      </c>
      <c r="B93"/>
      <c r="C93"/>
      <c r="D93"/>
      <c r="E93"/>
      <c r="F93"/>
      <c r="G93"/>
      <c r="H93">
        <v>2.9849999999999999</v>
      </c>
      <c r="I93">
        <v>3.0129999999999999</v>
      </c>
      <c r="J93">
        <v>2.9990000000000001</v>
      </c>
      <c r="K93">
        <v>3.0030000000000001</v>
      </c>
      <c r="L93">
        <v>3.0249999999999999</v>
      </c>
      <c r="M93">
        <v>3</v>
      </c>
      <c r="N93" s="14"/>
      <c r="O93" s="13"/>
    </row>
    <row r="94" spans="1:15" x14ac:dyDescent="0.25">
      <c r="A94" s="4">
        <v>92</v>
      </c>
      <c r="B94">
        <v>2.9820000000000002</v>
      </c>
      <c r="C94">
        <v>2.9790000000000001</v>
      </c>
      <c r="D94">
        <v>2.988</v>
      </c>
      <c r="E94">
        <v>2.9790000000000001</v>
      </c>
      <c r="F94">
        <v>2.9889999999999999</v>
      </c>
      <c r="G94">
        <v>2.992</v>
      </c>
      <c r="H94">
        <v>3.004</v>
      </c>
      <c r="I94">
        <v>2.9620000000000002</v>
      </c>
      <c r="J94">
        <v>2.9980000000000002</v>
      </c>
      <c r="K94">
        <v>3.0139999999999998</v>
      </c>
      <c r="L94">
        <v>3.0289999999999999</v>
      </c>
      <c r="M94">
        <v>3.0089999999999999</v>
      </c>
      <c r="N94" s="14"/>
      <c r="O94" s="13"/>
    </row>
    <row r="95" spans="1:15" x14ac:dyDescent="0.25">
      <c r="A95" s="4">
        <v>93</v>
      </c>
      <c r="B95">
        <v>3.0129999999999999</v>
      </c>
      <c r="C95">
        <v>3.0009999999999999</v>
      </c>
      <c r="D95">
        <v>3.0070000000000001</v>
      </c>
      <c r="E95">
        <v>2.9980000000000002</v>
      </c>
      <c r="F95">
        <v>2.9910000000000001</v>
      </c>
      <c r="G95">
        <v>3.01</v>
      </c>
      <c r="H95">
        <v>3.0219999999999998</v>
      </c>
      <c r="I95">
        <v>2.9849999999999999</v>
      </c>
      <c r="J95">
        <v>3.0129999999999999</v>
      </c>
      <c r="K95">
        <v>3.0019999999999998</v>
      </c>
      <c r="L95">
        <v>2.9860000000000002</v>
      </c>
      <c r="M95">
        <v>3.0019999999999998</v>
      </c>
      <c r="N95" s="14"/>
      <c r="O95" s="13"/>
    </row>
    <row r="96" spans="1:15" x14ac:dyDescent="0.25">
      <c r="A96" s="4">
        <v>94</v>
      </c>
      <c r="B96">
        <v>3.016</v>
      </c>
      <c r="C96">
        <v>3.0070000000000001</v>
      </c>
      <c r="D96">
        <v>2.996</v>
      </c>
      <c r="E96">
        <v>3.0070000000000001</v>
      </c>
      <c r="F96">
        <v>3.0009999999999999</v>
      </c>
      <c r="G96">
        <v>2.984</v>
      </c>
      <c r="H96">
        <v>2.992</v>
      </c>
      <c r="I96">
        <v>2.9790000000000001</v>
      </c>
      <c r="J96">
        <v>2.984</v>
      </c>
      <c r="K96">
        <v>2.98</v>
      </c>
      <c r="L96">
        <v>2.9769999999999999</v>
      </c>
      <c r="M96">
        <v>2.9950000000000001</v>
      </c>
      <c r="N96" s="14"/>
      <c r="O96" s="13"/>
    </row>
    <row r="97" spans="1:15" x14ac:dyDescent="0.25">
      <c r="A97" s="4">
        <v>95</v>
      </c>
      <c r="B97">
        <v>3.0179999999999998</v>
      </c>
      <c r="C97">
        <v>2.9980000000000002</v>
      </c>
      <c r="D97">
        <v>3.03</v>
      </c>
      <c r="E97">
        <v>3.01</v>
      </c>
      <c r="F97">
        <v>3.0030000000000001</v>
      </c>
      <c r="G97">
        <v>2.9910000000000001</v>
      </c>
      <c r="H97">
        <v>2.972</v>
      </c>
      <c r="I97">
        <v>2.9569999999999999</v>
      </c>
      <c r="J97">
        <v>2.9889999999999999</v>
      </c>
      <c r="K97">
        <v>2.99</v>
      </c>
      <c r="L97">
        <v>2.9849999999999999</v>
      </c>
      <c r="M97">
        <v>2.9769999999999999</v>
      </c>
      <c r="N97" s="14"/>
      <c r="O97" s="13"/>
    </row>
    <row r="98" spans="1:15" x14ac:dyDescent="0.25">
      <c r="A98" s="4">
        <v>96</v>
      </c>
      <c r="B98">
        <v>3.0070000000000001</v>
      </c>
      <c r="C98">
        <v>3.02</v>
      </c>
      <c r="D98">
        <v>3.0070000000000001</v>
      </c>
      <c r="E98">
        <v>3.012</v>
      </c>
      <c r="F98">
        <v>3.0049999999999999</v>
      </c>
      <c r="G98">
        <v>3.0049999999999999</v>
      </c>
      <c r="H98">
        <v>3.0030000000000001</v>
      </c>
      <c r="I98">
        <v>2.9780000000000002</v>
      </c>
      <c r="J98">
        <v>2.9670000000000001</v>
      </c>
      <c r="K98">
        <v>2.9910000000000001</v>
      </c>
      <c r="L98">
        <v>2.9780000000000002</v>
      </c>
      <c r="M98">
        <v>2.9790000000000001</v>
      </c>
      <c r="N98" s="14"/>
      <c r="O98" s="13"/>
    </row>
    <row r="99" spans="1:15" x14ac:dyDescent="0.25">
      <c r="A99" s="4">
        <v>97</v>
      </c>
      <c r="B99">
        <v>3.0070000000000001</v>
      </c>
      <c r="C99">
        <v>3.0009999999999999</v>
      </c>
      <c r="D99">
        <v>2.9580000000000002</v>
      </c>
      <c r="E99">
        <v>3.0110000000000001</v>
      </c>
      <c r="F99">
        <v>2.9929999999999999</v>
      </c>
      <c r="G99">
        <v>3.0089999999999999</v>
      </c>
      <c r="H99"/>
      <c r="I99"/>
      <c r="J99"/>
      <c r="K99"/>
      <c r="L99"/>
      <c r="M99"/>
      <c r="N99" s="14"/>
      <c r="O99" s="13"/>
    </row>
    <row r="100" spans="1:15" x14ac:dyDescent="0.25">
      <c r="A100" s="4">
        <v>98</v>
      </c>
      <c r="B100"/>
      <c r="C100"/>
      <c r="D100"/>
      <c r="E100"/>
      <c r="F100"/>
      <c r="G100"/>
      <c r="H100">
        <v>2.9929999999999999</v>
      </c>
      <c r="I100">
        <v>2.9689999999999999</v>
      </c>
      <c r="J100">
        <v>2.984</v>
      </c>
      <c r="K100">
        <v>2.9540000000000002</v>
      </c>
      <c r="L100">
        <v>2.9889999999999999</v>
      </c>
      <c r="M100">
        <v>3.0169999999999999</v>
      </c>
      <c r="N100" s="14"/>
      <c r="O100" s="13"/>
    </row>
    <row r="101" spans="1:15" x14ac:dyDescent="0.25">
      <c r="A101" s="4">
        <v>99</v>
      </c>
      <c r="B101">
        <v>2.9390000000000001</v>
      </c>
      <c r="C101">
        <v>2.9409999999999998</v>
      </c>
      <c r="D101">
        <v>2.923</v>
      </c>
      <c r="E101">
        <v>2.9470000000000001</v>
      </c>
      <c r="F101">
        <v>2.9409999999999998</v>
      </c>
      <c r="G101">
        <v>2.9649999999999999</v>
      </c>
      <c r="H101">
        <v>3.0289999999999999</v>
      </c>
      <c r="I101">
        <v>3.044</v>
      </c>
      <c r="J101">
        <v>3.0249999999999999</v>
      </c>
      <c r="K101">
        <v>3.0150000000000001</v>
      </c>
      <c r="L101">
        <v>3.0070000000000001</v>
      </c>
      <c r="M101">
        <v>3.0310000000000001</v>
      </c>
      <c r="N101" s="14"/>
      <c r="O101" s="13"/>
    </row>
    <row r="102" spans="1:15" x14ac:dyDescent="0.25">
      <c r="A102" s="4">
        <v>100</v>
      </c>
      <c r="B102">
        <v>2.9510000000000001</v>
      </c>
      <c r="C102">
        <v>2.9809999999999999</v>
      </c>
      <c r="D102">
        <v>2.984</v>
      </c>
      <c r="E102">
        <v>2.9460000000000002</v>
      </c>
      <c r="F102">
        <v>2.988</v>
      </c>
      <c r="G102">
        <v>2.984</v>
      </c>
      <c r="H102">
        <v>3.0209999999999999</v>
      </c>
      <c r="I102">
        <v>3.032</v>
      </c>
      <c r="J102">
        <v>3.0219999999999998</v>
      </c>
      <c r="K102">
        <v>3.03</v>
      </c>
      <c r="L102">
        <v>3.0049999999999999</v>
      </c>
      <c r="M102">
        <v>2.9969999999999999</v>
      </c>
      <c r="N102" s="14"/>
      <c r="O102" s="13"/>
    </row>
    <row r="103" spans="1:15" x14ac:dyDescent="0.25">
      <c r="A103" s="4">
        <v>101</v>
      </c>
      <c r="B103">
        <v>2.9540000000000002</v>
      </c>
      <c r="C103">
        <v>2.9790000000000001</v>
      </c>
      <c r="D103">
        <v>2.9870000000000001</v>
      </c>
      <c r="E103">
        <v>2.9670000000000001</v>
      </c>
      <c r="F103">
        <v>2.9849999999999999</v>
      </c>
      <c r="G103">
        <v>2.9710000000000001</v>
      </c>
      <c r="H103">
        <v>2.98</v>
      </c>
      <c r="I103">
        <v>2.99</v>
      </c>
      <c r="J103">
        <v>2.9860000000000002</v>
      </c>
      <c r="K103">
        <v>2.9790000000000001</v>
      </c>
      <c r="L103">
        <v>3.0009999999999999</v>
      </c>
      <c r="M103">
        <v>2.964</v>
      </c>
      <c r="N103" s="14"/>
      <c r="O103" s="13"/>
    </row>
    <row r="104" spans="1:15" x14ac:dyDescent="0.25">
      <c r="A104" s="4">
        <v>102</v>
      </c>
      <c r="B104">
        <v>3.0219999999999998</v>
      </c>
      <c r="C104">
        <v>3.0049999999999999</v>
      </c>
      <c r="D104">
        <v>3.0190000000000001</v>
      </c>
      <c r="E104">
        <v>3.016</v>
      </c>
      <c r="F104">
        <v>3.0110000000000001</v>
      </c>
      <c r="G104">
        <v>3.012</v>
      </c>
      <c r="H104">
        <v>2.9780000000000002</v>
      </c>
      <c r="I104">
        <v>2.9860000000000002</v>
      </c>
      <c r="J104">
        <v>2.9729999999999999</v>
      </c>
      <c r="K104">
        <v>3.004</v>
      </c>
      <c r="L104">
        <v>3.0049999999999999</v>
      </c>
      <c r="M104">
        <v>2.9889999999999999</v>
      </c>
      <c r="N104" s="14"/>
      <c r="O104" s="13"/>
    </row>
    <row r="105" spans="1:15" x14ac:dyDescent="0.25">
      <c r="A105" s="4">
        <v>103</v>
      </c>
      <c r="B105">
        <v>3.0329999999999999</v>
      </c>
      <c r="C105">
        <v>2.99</v>
      </c>
      <c r="D105">
        <v>3.0209999999999999</v>
      </c>
      <c r="E105">
        <v>3.0150000000000001</v>
      </c>
      <c r="F105">
        <v>2.992</v>
      </c>
      <c r="G105">
        <v>3.0059999999999998</v>
      </c>
      <c r="H105">
        <v>3</v>
      </c>
      <c r="I105">
        <v>3.0049999999999999</v>
      </c>
      <c r="J105">
        <v>3.0219999999999998</v>
      </c>
      <c r="K105">
        <v>3.0129999999999999</v>
      </c>
      <c r="L105">
        <v>3.004</v>
      </c>
      <c r="M105">
        <v>2.9990000000000001</v>
      </c>
      <c r="N105" s="14"/>
      <c r="O105" s="13"/>
    </row>
    <row r="106" spans="1:15" x14ac:dyDescent="0.25">
      <c r="A106" s="4">
        <v>104</v>
      </c>
      <c r="B106">
        <v>2.9910000000000001</v>
      </c>
      <c r="C106">
        <v>2.9940000000000002</v>
      </c>
      <c r="D106">
        <v>3.0129999999999999</v>
      </c>
      <c r="E106">
        <v>2.9910000000000001</v>
      </c>
      <c r="F106">
        <v>3.0059999999999998</v>
      </c>
      <c r="G106">
        <v>3.0089999999999999</v>
      </c>
      <c r="H106">
        <v>3.0019999999999998</v>
      </c>
      <c r="I106">
        <v>3.0139999999999998</v>
      </c>
      <c r="J106">
        <v>3.016</v>
      </c>
      <c r="K106">
        <v>3.0019999999999998</v>
      </c>
      <c r="L106">
        <v>2.9889999999999999</v>
      </c>
      <c r="M106">
        <v>2.9990000000000001</v>
      </c>
      <c r="N106" s="14"/>
      <c r="O106" s="13"/>
    </row>
    <row r="107" spans="1:15" x14ac:dyDescent="0.25">
      <c r="A107" s="4">
        <v>105</v>
      </c>
      <c r="B107">
        <v>2.9830000000000001</v>
      </c>
      <c r="C107">
        <v>3.0089999999999999</v>
      </c>
      <c r="D107">
        <v>2.9889999999999999</v>
      </c>
      <c r="E107">
        <v>2.9830000000000001</v>
      </c>
      <c r="F107">
        <v>3.0070000000000001</v>
      </c>
      <c r="G107">
        <v>3.004</v>
      </c>
      <c r="H107"/>
      <c r="I107"/>
      <c r="J107"/>
      <c r="K107"/>
      <c r="L107"/>
      <c r="M107"/>
      <c r="N107" s="14"/>
      <c r="O107" s="13"/>
    </row>
    <row r="108" spans="1:15" x14ac:dyDescent="0.25">
      <c r="A108" s="4">
        <v>106</v>
      </c>
      <c r="B108">
        <v>3.0059999999999998</v>
      </c>
      <c r="C108">
        <v>2.9790000000000001</v>
      </c>
      <c r="D108">
        <v>2.9870000000000001</v>
      </c>
      <c r="E108">
        <v>2.9849999999999999</v>
      </c>
      <c r="F108">
        <v>2.98</v>
      </c>
      <c r="G108">
        <v>2.996</v>
      </c>
      <c r="H108">
        <v>3.0089999999999999</v>
      </c>
      <c r="I108">
        <v>2.9860000000000002</v>
      </c>
      <c r="J108">
        <v>2.976</v>
      </c>
      <c r="K108">
        <v>2.996</v>
      </c>
      <c r="L108">
        <v>2.9889999999999999</v>
      </c>
      <c r="M108">
        <v>2.9950000000000001</v>
      </c>
      <c r="N108" s="14"/>
      <c r="O108" s="13"/>
    </row>
    <row r="109" spans="1:15" x14ac:dyDescent="0.25">
      <c r="A109" s="4">
        <v>107</v>
      </c>
      <c r="B109">
        <v>2.988</v>
      </c>
      <c r="C109">
        <v>2.9969999999999999</v>
      </c>
      <c r="D109">
        <v>2.9990000000000001</v>
      </c>
      <c r="E109">
        <v>3.0019999999999998</v>
      </c>
      <c r="F109">
        <v>3.0049999999999999</v>
      </c>
      <c r="G109">
        <v>2.9790000000000001</v>
      </c>
      <c r="H109"/>
      <c r="I109"/>
      <c r="J109"/>
      <c r="K109"/>
      <c r="L109"/>
      <c r="M109"/>
      <c r="N109" s="14"/>
      <c r="O109" s="13"/>
    </row>
    <row r="110" spans="1:15" x14ac:dyDescent="0.25">
      <c r="A110" s="4">
        <v>108</v>
      </c>
      <c r="B110">
        <v>3.0059999999999998</v>
      </c>
      <c r="C110">
        <v>2.992</v>
      </c>
      <c r="D110">
        <v>2.9820000000000002</v>
      </c>
      <c r="E110">
        <v>3.0009999999999999</v>
      </c>
      <c r="F110">
        <v>2.9929999999999999</v>
      </c>
      <c r="G110">
        <v>2.9849999999999999</v>
      </c>
      <c r="H110">
        <v>2.9940000000000002</v>
      </c>
      <c r="I110">
        <v>2.976</v>
      </c>
      <c r="J110">
        <v>3</v>
      </c>
      <c r="K110">
        <v>2.9809999999999999</v>
      </c>
      <c r="L110">
        <v>3.0139999999999998</v>
      </c>
      <c r="M110">
        <v>2.9849999999999999</v>
      </c>
      <c r="N110" s="14"/>
      <c r="O110" s="13"/>
    </row>
    <row r="111" spans="1:15" x14ac:dyDescent="0.25">
      <c r="A111" s="4">
        <v>109</v>
      </c>
      <c r="B111">
        <v>3.0110000000000001</v>
      </c>
      <c r="C111">
        <v>3.0139999999999998</v>
      </c>
      <c r="D111">
        <v>3.0070000000000001</v>
      </c>
      <c r="E111">
        <v>3.0030000000000001</v>
      </c>
      <c r="F111">
        <v>3.0030000000000001</v>
      </c>
      <c r="G111">
        <v>2.9849999999999999</v>
      </c>
      <c r="H111">
        <v>2.976</v>
      </c>
      <c r="I111">
        <v>2.9830000000000001</v>
      </c>
      <c r="J111">
        <v>3.01</v>
      </c>
      <c r="K111">
        <v>2.9870000000000001</v>
      </c>
      <c r="L111">
        <v>3.0059999999999998</v>
      </c>
      <c r="M111">
        <v>2.9860000000000002</v>
      </c>
      <c r="N111" s="14"/>
      <c r="O111" s="13"/>
    </row>
    <row r="112" spans="1:15" x14ac:dyDescent="0.25">
      <c r="A112" s="4">
        <v>110</v>
      </c>
      <c r="B112">
        <v>2.9750000000000001</v>
      </c>
      <c r="C112">
        <v>2.9750000000000001</v>
      </c>
      <c r="D112">
        <v>2.9889999999999999</v>
      </c>
      <c r="E112">
        <v>2.9809999999999999</v>
      </c>
      <c r="F112">
        <v>2.98</v>
      </c>
      <c r="G112">
        <v>3.0009999999999999</v>
      </c>
      <c r="H112">
        <v>2.992</v>
      </c>
      <c r="I112">
        <v>2.988</v>
      </c>
      <c r="J112">
        <v>2.9809999999999999</v>
      </c>
      <c r="K112">
        <v>3.01</v>
      </c>
      <c r="L112">
        <v>2.98</v>
      </c>
      <c r="M112">
        <v>3.0019999999999998</v>
      </c>
      <c r="N112" s="14"/>
      <c r="O112" s="13"/>
    </row>
    <row r="113" spans="1:15" x14ac:dyDescent="0.25">
      <c r="A113" s="4">
        <v>111</v>
      </c>
      <c r="B113">
        <v>2.9780000000000002</v>
      </c>
      <c r="C113">
        <v>2.9980000000000002</v>
      </c>
      <c r="D113">
        <v>2.9940000000000002</v>
      </c>
      <c r="E113">
        <v>2.9929999999999999</v>
      </c>
      <c r="F113">
        <v>2.9860000000000002</v>
      </c>
      <c r="G113">
        <v>2.992</v>
      </c>
      <c r="H113">
        <v>3.0089999999999999</v>
      </c>
      <c r="I113">
        <v>3.0110000000000001</v>
      </c>
      <c r="J113">
        <v>2.9870000000000001</v>
      </c>
      <c r="K113">
        <v>2.9780000000000002</v>
      </c>
      <c r="L113">
        <v>2.9950000000000001</v>
      </c>
      <c r="M113">
        <v>2.988</v>
      </c>
      <c r="N113" s="14"/>
      <c r="O113" s="13"/>
    </row>
    <row r="114" spans="1:15" x14ac:dyDescent="0.25">
      <c r="A114" s="4">
        <v>112</v>
      </c>
      <c r="B114">
        <v>3.0009999999999999</v>
      </c>
      <c r="C114">
        <v>2.9950000000000001</v>
      </c>
      <c r="D114">
        <v>3.0190000000000001</v>
      </c>
      <c r="E114">
        <v>3.0150000000000001</v>
      </c>
      <c r="F114">
        <v>3.0030000000000001</v>
      </c>
      <c r="G114">
        <v>2.9780000000000002</v>
      </c>
      <c r="H114">
        <v>2.9950000000000001</v>
      </c>
      <c r="I114">
        <v>3.0030000000000001</v>
      </c>
      <c r="J114">
        <v>3.0009999999999999</v>
      </c>
      <c r="K114">
        <v>3.0139999999999998</v>
      </c>
      <c r="L114">
        <v>3.028</v>
      </c>
      <c r="M114">
        <v>3.0110000000000001</v>
      </c>
      <c r="N114" s="14"/>
      <c r="O114" s="13"/>
    </row>
    <row r="115" spans="1:15" x14ac:dyDescent="0.25">
      <c r="A115" s="4">
        <v>113</v>
      </c>
      <c r="B115">
        <v>3.0209999999999999</v>
      </c>
      <c r="C115">
        <v>3</v>
      </c>
      <c r="D115">
        <v>3.004</v>
      </c>
      <c r="E115">
        <v>3.0059999999999998</v>
      </c>
      <c r="F115">
        <v>3.0089999999999999</v>
      </c>
      <c r="G115">
        <v>3.0019999999999998</v>
      </c>
      <c r="H115">
        <v>3.0049999999999999</v>
      </c>
      <c r="I115">
        <v>3.0110000000000001</v>
      </c>
      <c r="J115">
        <v>2.9969999999999999</v>
      </c>
      <c r="K115">
        <v>3.0009999999999999</v>
      </c>
      <c r="L115">
        <v>2.9780000000000002</v>
      </c>
      <c r="M115">
        <v>3.0190000000000001</v>
      </c>
      <c r="N115" s="14"/>
      <c r="O115" s="13"/>
    </row>
    <row r="116" spans="1:15" x14ac:dyDescent="0.25">
      <c r="A116" s="4">
        <v>114</v>
      </c>
      <c r="B116">
        <v>2.9740000000000002</v>
      </c>
      <c r="C116">
        <v>2.9740000000000002</v>
      </c>
      <c r="D116">
        <v>3.0089999999999999</v>
      </c>
      <c r="E116">
        <v>2.9980000000000002</v>
      </c>
      <c r="F116">
        <v>2.988</v>
      </c>
      <c r="G116">
        <v>3.0070000000000001</v>
      </c>
      <c r="H116">
        <v>2.9940000000000002</v>
      </c>
      <c r="I116">
        <v>3.0129999999999999</v>
      </c>
      <c r="J116">
        <v>3.0070000000000001</v>
      </c>
      <c r="K116">
        <v>3.008</v>
      </c>
      <c r="L116">
        <v>3.0139999999999998</v>
      </c>
      <c r="M116">
        <v>3</v>
      </c>
      <c r="N116" s="14"/>
      <c r="O116" s="13"/>
    </row>
    <row r="117" spans="1:15" x14ac:dyDescent="0.25">
      <c r="A117" s="4">
        <v>115</v>
      </c>
      <c r="B117">
        <v>2.988</v>
      </c>
      <c r="C117">
        <v>2.9809999999999999</v>
      </c>
      <c r="D117">
        <v>2.9889999999999999</v>
      </c>
      <c r="E117">
        <v>2.9809999999999999</v>
      </c>
      <c r="F117">
        <v>2.9820000000000002</v>
      </c>
      <c r="G117">
        <v>3.0030000000000001</v>
      </c>
      <c r="H117">
        <v>3.012</v>
      </c>
      <c r="I117">
        <v>3.0059999999999998</v>
      </c>
      <c r="J117">
        <v>2.9889999999999999</v>
      </c>
      <c r="K117">
        <v>3.0169999999999999</v>
      </c>
      <c r="L117">
        <v>3.0009999999999999</v>
      </c>
      <c r="M117">
        <v>3.0129999999999999</v>
      </c>
      <c r="N117" s="14"/>
      <c r="O117" s="13"/>
    </row>
    <row r="118" spans="1:15" x14ac:dyDescent="0.25">
      <c r="A118" s="4">
        <v>116</v>
      </c>
      <c r="B118">
        <v>3.0139999999999998</v>
      </c>
      <c r="C118">
        <v>3.0150000000000001</v>
      </c>
      <c r="D118">
        <v>2.97</v>
      </c>
      <c r="E118">
        <v>2.992</v>
      </c>
      <c r="F118">
        <v>3.0169999999999999</v>
      </c>
      <c r="G118">
        <v>2.996</v>
      </c>
      <c r="H118">
        <v>3.0019999999999998</v>
      </c>
      <c r="I118">
        <v>3.0070000000000001</v>
      </c>
      <c r="J118">
        <v>3.004</v>
      </c>
      <c r="K118">
        <v>2.9860000000000002</v>
      </c>
      <c r="L118">
        <v>2.9769999999999999</v>
      </c>
      <c r="M118">
        <v>2.9940000000000002</v>
      </c>
      <c r="N118" s="14"/>
      <c r="O118" s="13"/>
    </row>
    <row r="119" spans="1:15" x14ac:dyDescent="0.25">
      <c r="A119" s="4">
        <v>117</v>
      </c>
      <c r="B119">
        <v>3.02</v>
      </c>
      <c r="C119">
        <v>3.0289999999999999</v>
      </c>
      <c r="D119">
        <v>2.9950000000000001</v>
      </c>
      <c r="E119">
        <v>3.0049999999999999</v>
      </c>
      <c r="F119">
        <v>3.0270000000000001</v>
      </c>
      <c r="G119">
        <v>3.0139999999999998</v>
      </c>
      <c r="H119">
        <v>2.9969999999999999</v>
      </c>
      <c r="I119">
        <v>3.0059999999999998</v>
      </c>
      <c r="J119">
        <v>2.9980000000000002</v>
      </c>
      <c r="K119">
        <v>3.0019999999999998</v>
      </c>
      <c r="L119">
        <v>3.0150000000000001</v>
      </c>
      <c r="M119">
        <v>3.01</v>
      </c>
      <c r="N119" s="14"/>
      <c r="O119" s="13"/>
    </row>
    <row r="120" spans="1:15" x14ac:dyDescent="0.25">
      <c r="A120" s="4">
        <v>118</v>
      </c>
      <c r="B120">
        <v>2.996</v>
      </c>
      <c r="C120">
        <v>2.9849999999999999</v>
      </c>
      <c r="D120">
        <v>3.0179999999999998</v>
      </c>
      <c r="E120">
        <v>3.004</v>
      </c>
      <c r="F120">
        <v>2.9889999999999999</v>
      </c>
      <c r="G120">
        <v>3.0310000000000001</v>
      </c>
      <c r="H120">
        <v>2.984</v>
      </c>
      <c r="I120">
        <v>2.9870000000000001</v>
      </c>
      <c r="J120">
        <v>2.996</v>
      </c>
      <c r="K120">
        <v>2.9929999999999999</v>
      </c>
      <c r="L120">
        <v>2.988</v>
      </c>
      <c r="M120">
        <v>2.972</v>
      </c>
      <c r="N120" s="14"/>
      <c r="O120" s="13"/>
    </row>
    <row r="121" spans="1:15" x14ac:dyDescent="0.25">
      <c r="A121" s="4">
        <v>119</v>
      </c>
      <c r="B121">
        <v>3.0129999999999999</v>
      </c>
      <c r="C121">
        <v>3.0219999999999998</v>
      </c>
      <c r="D121">
        <v>3.02</v>
      </c>
      <c r="E121">
        <v>3.0329999999999999</v>
      </c>
      <c r="F121">
        <v>2.9969999999999999</v>
      </c>
      <c r="G121">
        <v>2.996</v>
      </c>
      <c r="H121">
        <v>3.016</v>
      </c>
      <c r="I121">
        <v>2.98</v>
      </c>
      <c r="J121">
        <v>3.0329999999999999</v>
      </c>
      <c r="K121">
        <v>2.9889999999999999</v>
      </c>
      <c r="L121">
        <v>3.0209999999999999</v>
      </c>
      <c r="M121">
        <v>2.9980000000000002</v>
      </c>
      <c r="N121" s="14"/>
      <c r="O121" s="13"/>
    </row>
    <row r="122" spans="1:15" x14ac:dyDescent="0.25">
      <c r="A122" s="4">
        <v>120</v>
      </c>
      <c r="B122">
        <v>3.0070000000000001</v>
      </c>
      <c r="C122">
        <v>3.0209999999999999</v>
      </c>
      <c r="D122">
        <v>3.004</v>
      </c>
      <c r="E122">
        <v>3.004</v>
      </c>
      <c r="F122">
        <v>3</v>
      </c>
      <c r="G122">
        <v>3.0110000000000001</v>
      </c>
      <c r="H122">
        <v>3.012</v>
      </c>
      <c r="I122">
        <v>2.98</v>
      </c>
      <c r="J122">
        <v>3.0190000000000001</v>
      </c>
      <c r="K122">
        <v>2.9860000000000002</v>
      </c>
      <c r="L122">
        <v>2.99</v>
      </c>
      <c r="M122">
        <v>3.004</v>
      </c>
      <c r="N122" s="14"/>
      <c r="O122" s="13"/>
    </row>
    <row r="123" spans="1:15" x14ac:dyDescent="0.25">
      <c r="A123" s="4">
        <v>121</v>
      </c>
      <c r="B123"/>
      <c r="C123"/>
      <c r="D123"/>
      <c r="E123"/>
      <c r="F123"/>
      <c r="G123"/>
      <c r="H123">
        <v>3.0049999999999999</v>
      </c>
      <c r="I123">
        <v>2.9929999999999999</v>
      </c>
      <c r="J123">
        <v>2.9790000000000001</v>
      </c>
      <c r="K123">
        <v>3.0089999999999999</v>
      </c>
      <c r="L123">
        <v>2.9870000000000001</v>
      </c>
      <c r="M123">
        <v>2.9889999999999999</v>
      </c>
      <c r="N123" s="14"/>
      <c r="O123" s="13"/>
    </row>
    <row r="124" spans="1:15" x14ac:dyDescent="0.25">
      <c r="A124" s="4">
        <v>122</v>
      </c>
      <c r="B124">
        <v>2.9630000000000001</v>
      </c>
      <c r="C124">
        <v>2.9950000000000001</v>
      </c>
      <c r="D124">
        <v>2.98</v>
      </c>
      <c r="E124">
        <v>3.0049999999999999</v>
      </c>
      <c r="F124">
        <v>2.9910000000000001</v>
      </c>
      <c r="G124">
        <v>3.0019999999999998</v>
      </c>
      <c r="H124">
        <v>2.996</v>
      </c>
      <c r="I124">
        <v>3.0019999999999998</v>
      </c>
      <c r="J124">
        <v>2.9769999999999999</v>
      </c>
      <c r="K124">
        <v>3.0059999999999998</v>
      </c>
      <c r="L124">
        <v>3.004</v>
      </c>
      <c r="M124">
        <v>3.0070000000000001</v>
      </c>
      <c r="N124" s="14"/>
      <c r="O124" s="13"/>
    </row>
    <row r="125" spans="1:15" x14ac:dyDescent="0.25">
      <c r="A125" s="4">
        <v>123</v>
      </c>
      <c r="B125">
        <v>2.9889999999999999</v>
      </c>
      <c r="C125">
        <v>2.9870000000000001</v>
      </c>
      <c r="D125">
        <v>2.9910000000000001</v>
      </c>
      <c r="E125">
        <v>2.992</v>
      </c>
      <c r="F125">
        <v>3.0009999999999999</v>
      </c>
      <c r="G125">
        <v>3.0089999999999999</v>
      </c>
      <c r="H125">
        <v>2.9990000000000001</v>
      </c>
      <c r="I125">
        <v>3.0089999999999999</v>
      </c>
      <c r="J125">
        <v>3.0030000000000001</v>
      </c>
      <c r="K125">
        <v>3.0179999999999998</v>
      </c>
      <c r="L125">
        <v>2.9889999999999999</v>
      </c>
      <c r="M125">
        <v>2.9990000000000001</v>
      </c>
      <c r="N125" s="14"/>
      <c r="O125" s="13"/>
    </row>
    <row r="126" spans="1:15" x14ac:dyDescent="0.25">
      <c r="A126" s="4">
        <v>124</v>
      </c>
      <c r="B126">
        <v>2.9950000000000001</v>
      </c>
      <c r="C126">
        <v>3</v>
      </c>
      <c r="D126">
        <v>3.0129999999999999</v>
      </c>
      <c r="E126">
        <v>3.0030000000000001</v>
      </c>
      <c r="F126">
        <v>3.0049999999999999</v>
      </c>
      <c r="G126">
        <v>2.976</v>
      </c>
      <c r="H126">
        <v>2.99</v>
      </c>
      <c r="I126">
        <v>3.048</v>
      </c>
      <c r="J126">
        <v>3.0249999999999999</v>
      </c>
      <c r="K126">
        <v>3.02</v>
      </c>
      <c r="L126">
        <v>3.024</v>
      </c>
      <c r="M126">
        <v>3.0259999999999998</v>
      </c>
      <c r="N126" s="14"/>
      <c r="O126" s="13"/>
    </row>
    <row r="127" spans="1:15" x14ac:dyDescent="0.25">
      <c r="A127" s="4">
        <v>125</v>
      </c>
      <c r="B127">
        <v>2.99</v>
      </c>
      <c r="C127">
        <v>3.0219999999999998</v>
      </c>
      <c r="D127">
        <v>3.0139999999999998</v>
      </c>
      <c r="E127">
        <v>3.0219999999999998</v>
      </c>
      <c r="F127">
        <v>3.0150000000000001</v>
      </c>
      <c r="G127">
        <v>3.02</v>
      </c>
      <c r="H127">
        <v>3.0209999999999999</v>
      </c>
      <c r="I127">
        <v>3.0590000000000002</v>
      </c>
      <c r="J127">
        <v>3.0190000000000001</v>
      </c>
      <c r="K127">
        <v>3.0009999999999999</v>
      </c>
      <c r="L127">
        <v>3.032</v>
      </c>
      <c r="M127">
        <v>3.0209999999999999</v>
      </c>
      <c r="N127" s="14"/>
      <c r="O127" s="13"/>
    </row>
    <row r="128" spans="1:15" x14ac:dyDescent="0.25">
      <c r="A128" s="4">
        <v>126</v>
      </c>
      <c r="B128"/>
      <c r="C128"/>
      <c r="D128"/>
      <c r="E128"/>
      <c r="F128"/>
      <c r="G128"/>
      <c r="H128">
        <v>3.0030000000000001</v>
      </c>
      <c r="I128">
        <v>3.0289999999999999</v>
      </c>
      <c r="J128">
        <v>3.0190000000000001</v>
      </c>
      <c r="K128">
        <v>2.9649999999999999</v>
      </c>
      <c r="L128">
        <v>2.9849999999999999</v>
      </c>
      <c r="M128">
        <v>2.9649999999999999</v>
      </c>
      <c r="N128" s="14"/>
      <c r="O128" s="13"/>
    </row>
    <row r="129" spans="1:15" x14ac:dyDescent="0.25">
      <c r="A129" s="4">
        <v>127</v>
      </c>
      <c r="B129">
        <v>3.01</v>
      </c>
      <c r="C129">
        <v>2.9910000000000001</v>
      </c>
      <c r="D129">
        <v>3.0070000000000001</v>
      </c>
      <c r="E129">
        <v>3.0139999999999998</v>
      </c>
      <c r="F129">
        <v>3.0070000000000001</v>
      </c>
      <c r="G129">
        <v>3.032</v>
      </c>
      <c r="H129">
        <v>2.9950000000000001</v>
      </c>
      <c r="I129">
        <v>2.9910000000000001</v>
      </c>
      <c r="J129">
        <v>3.008</v>
      </c>
      <c r="K129">
        <v>2.984</v>
      </c>
      <c r="L129">
        <v>2.9830000000000001</v>
      </c>
      <c r="M129">
        <v>2.9769999999999999</v>
      </c>
      <c r="N129" s="14"/>
      <c r="O129" s="13"/>
    </row>
    <row r="130" spans="1:15" x14ac:dyDescent="0.25">
      <c r="A130" s="4">
        <v>128</v>
      </c>
      <c r="B130">
        <v>3.016</v>
      </c>
      <c r="C130">
        <v>3.0070000000000001</v>
      </c>
      <c r="D130">
        <v>3.0409999999999999</v>
      </c>
      <c r="E130">
        <v>3.004</v>
      </c>
      <c r="F130">
        <v>3.024</v>
      </c>
      <c r="G130">
        <v>3.0070000000000001</v>
      </c>
      <c r="H130">
        <v>2.9830000000000001</v>
      </c>
      <c r="I130">
        <v>2.964</v>
      </c>
      <c r="J130">
        <v>2.9849999999999999</v>
      </c>
      <c r="K130">
        <v>2.9910000000000001</v>
      </c>
      <c r="L130">
        <v>2.9929999999999999</v>
      </c>
      <c r="M130">
        <v>2.9969999999999999</v>
      </c>
      <c r="N130" s="14"/>
      <c r="O130" s="13"/>
    </row>
    <row r="131" spans="1:15" x14ac:dyDescent="0.25">
      <c r="A131" s="4">
        <v>129</v>
      </c>
      <c r="B131"/>
      <c r="C131"/>
      <c r="D131"/>
      <c r="E131"/>
      <c r="F131"/>
      <c r="G131"/>
      <c r="H131">
        <v>2.984</v>
      </c>
      <c r="I131">
        <v>2.9750000000000001</v>
      </c>
      <c r="J131">
        <v>2.9630000000000001</v>
      </c>
      <c r="K131">
        <v>2.992</v>
      </c>
      <c r="L131">
        <v>2.9990000000000001</v>
      </c>
      <c r="M131">
        <v>2.98</v>
      </c>
      <c r="N131" s="14"/>
      <c r="O131" s="13"/>
    </row>
    <row r="132" spans="1:15" x14ac:dyDescent="0.25">
      <c r="A132" s="4">
        <v>130</v>
      </c>
      <c r="B132">
        <v>3.0459999999999998</v>
      </c>
      <c r="C132">
        <v>3.032</v>
      </c>
      <c r="D132">
        <v>3.0249999999999999</v>
      </c>
      <c r="E132">
        <v>3.024</v>
      </c>
      <c r="F132">
        <v>3.0249999999999999</v>
      </c>
      <c r="G132">
        <v>3.0430000000000001</v>
      </c>
      <c r="H132">
        <v>2.9790000000000001</v>
      </c>
      <c r="I132">
        <v>2.9980000000000002</v>
      </c>
      <c r="J132">
        <v>2.992</v>
      </c>
      <c r="K132">
        <v>2.9980000000000002</v>
      </c>
      <c r="L132">
        <v>3.024</v>
      </c>
      <c r="M132">
        <v>3.0190000000000001</v>
      </c>
      <c r="N132" s="14"/>
      <c r="O132" s="13"/>
    </row>
    <row r="133" spans="1:15" x14ac:dyDescent="0.25">
      <c r="A133" s="4">
        <v>131</v>
      </c>
      <c r="B133"/>
      <c r="C133"/>
      <c r="D133"/>
      <c r="E133"/>
      <c r="F133"/>
      <c r="G133"/>
      <c r="H133">
        <v>3.0230000000000001</v>
      </c>
      <c r="I133">
        <v>3.0139999999999998</v>
      </c>
      <c r="J133">
        <v>3.02</v>
      </c>
      <c r="K133">
        <v>3.03</v>
      </c>
      <c r="L133">
        <v>3.0179999999999998</v>
      </c>
      <c r="M133">
        <v>3.0209999999999999</v>
      </c>
      <c r="N133" s="14"/>
      <c r="O133" s="13"/>
    </row>
    <row r="134" spans="1:15" x14ac:dyDescent="0.25">
      <c r="A134" s="4">
        <v>132</v>
      </c>
      <c r="B134">
        <v>2.9740000000000002</v>
      </c>
      <c r="C134">
        <v>3</v>
      </c>
      <c r="D134">
        <v>2.9620000000000002</v>
      </c>
      <c r="E134">
        <v>2.9769999999999999</v>
      </c>
      <c r="F134">
        <v>2.944</v>
      </c>
      <c r="G134">
        <v>2.9790000000000001</v>
      </c>
      <c r="H134">
        <v>3.024</v>
      </c>
      <c r="I134">
        <v>3</v>
      </c>
      <c r="J134">
        <v>3.0030000000000001</v>
      </c>
      <c r="K134">
        <v>3.004</v>
      </c>
      <c r="L134">
        <v>3.0030000000000001</v>
      </c>
      <c r="M134">
        <v>3.012</v>
      </c>
      <c r="N134" s="14"/>
      <c r="O134" s="13"/>
    </row>
    <row r="135" spans="1:15" x14ac:dyDescent="0.25">
      <c r="A135" s="4">
        <v>133</v>
      </c>
      <c r="B135">
        <v>3.0019999999999998</v>
      </c>
      <c r="C135">
        <v>2.9929999999999999</v>
      </c>
      <c r="D135">
        <v>2.9660000000000002</v>
      </c>
      <c r="E135">
        <v>2.9750000000000001</v>
      </c>
      <c r="F135">
        <v>2.9750000000000001</v>
      </c>
      <c r="G135">
        <v>2.992</v>
      </c>
      <c r="H135">
        <v>2.9950000000000001</v>
      </c>
      <c r="I135">
        <v>3.0190000000000001</v>
      </c>
      <c r="J135">
        <v>2.9980000000000002</v>
      </c>
      <c r="K135">
        <v>2.9910000000000001</v>
      </c>
      <c r="L135">
        <v>2.992</v>
      </c>
      <c r="M135">
        <v>2.996</v>
      </c>
      <c r="N135" s="14"/>
      <c r="O135" s="13"/>
    </row>
    <row r="136" spans="1:15" x14ac:dyDescent="0.25">
      <c r="A136" s="4">
        <v>134</v>
      </c>
      <c r="B136">
        <v>3.0169999999999999</v>
      </c>
      <c r="C136">
        <v>2.99</v>
      </c>
      <c r="D136">
        <v>3.0139999999999998</v>
      </c>
      <c r="E136">
        <v>2.9950000000000001</v>
      </c>
      <c r="F136">
        <v>2.9990000000000001</v>
      </c>
      <c r="G136">
        <v>3.0169999999999999</v>
      </c>
      <c r="H136">
        <v>3.0070000000000001</v>
      </c>
      <c r="I136">
        <v>2.9969999999999999</v>
      </c>
      <c r="J136">
        <v>2.9790000000000001</v>
      </c>
      <c r="K136">
        <v>2.976</v>
      </c>
      <c r="L136">
        <v>2.9990000000000001</v>
      </c>
      <c r="M136">
        <v>2.9830000000000001</v>
      </c>
      <c r="N136" s="14"/>
      <c r="O136" s="13"/>
    </row>
    <row r="137" spans="1:15" x14ac:dyDescent="0.25">
      <c r="A137" s="4">
        <v>135</v>
      </c>
      <c r="B137"/>
      <c r="C137"/>
      <c r="D137"/>
      <c r="E137"/>
      <c r="F137"/>
      <c r="G137"/>
      <c r="H137">
        <v>3</v>
      </c>
      <c r="I137">
        <v>2.988</v>
      </c>
      <c r="J137">
        <v>3.012</v>
      </c>
      <c r="K137">
        <v>2.9870000000000001</v>
      </c>
      <c r="L137">
        <v>3.0129999999999999</v>
      </c>
      <c r="M137">
        <v>2.984</v>
      </c>
      <c r="N137" s="14"/>
      <c r="O137" s="13"/>
    </row>
    <row r="138" spans="1:15" x14ac:dyDescent="0.25">
      <c r="A138" s="4">
        <v>136</v>
      </c>
      <c r="B138">
        <v>3.0110000000000001</v>
      </c>
      <c r="C138">
        <v>2.9929999999999999</v>
      </c>
      <c r="D138">
        <v>3.02</v>
      </c>
      <c r="E138">
        <v>2.9929999999999999</v>
      </c>
      <c r="F138">
        <v>2.9830000000000001</v>
      </c>
      <c r="G138">
        <v>2.99</v>
      </c>
      <c r="H138">
        <v>2.992</v>
      </c>
      <c r="I138">
        <v>2.984</v>
      </c>
      <c r="J138">
        <v>2.9809999999999999</v>
      </c>
      <c r="K138">
        <v>2.9929999999999999</v>
      </c>
      <c r="L138">
        <v>2.9790000000000001</v>
      </c>
      <c r="M138">
        <v>3</v>
      </c>
      <c r="N138" s="14"/>
      <c r="O138" s="13"/>
    </row>
    <row r="139" spans="1:15" x14ac:dyDescent="0.25">
      <c r="A139" s="4">
        <v>137</v>
      </c>
      <c r="B139">
        <v>2.9769999999999999</v>
      </c>
      <c r="C139">
        <v>2.9940000000000002</v>
      </c>
      <c r="D139">
        <v>2.996</v>
      </c>
      <c r="E139">
        <v>3.0009999999999999</v>
      </c>
      <c r="F139">
        <v>2.9910000000000001</v>
      </c>
      <c r="G139">
        <v>2.9910000000000001</v>
      </c>
      <c r="H139">
        <v>3.01</v>
      </c>
      <c r="I139">
        <v>2.9929999999999999</v>
      </c>
      <c r="J139">
        <v>2.99</v>
      </c>
      <c r="K139">
        <v>3.0009999999999999</v>
      </c>
      <c r="L139">
        <v>2.9849999999999999</v>
      </c>
      <c r="M139">
        <v>3.01</v>
      </c>
      <c r="N139" s="14"/>
      <c r="O139" s="13"/>
    </row>
    <row r="140" spans="1:15" x14ac:dyDescent="0.25">
      <c r="A140" s="4">
        <v>138</v>
      </c>
      <c r="B140"/>
      <c r="C140"/>
      <c r="D140"/>
      <c r="E140"/>
      <c r="F140"/>
      <c r="G140"/>
      <c r="H140">
        <v>2.99</v>
      </c>
      <c r="I140">
        <v>2.9950000000000001</v>
      </c>
      <c r="J140">
        <v>2.9980000000000002</v>
      </c>
      <c r="K140">
        <v>3.016</v>
      </c>
      <c r="L140">
        <v>2.9860000000000002</v>
      </c>
      <c r="M140">
        <v>3.0070000000000001</v>
      </c>
      <c r="N140" s="14"/>
      <c r="O140" s="13"/>
    </row>
    <row r="141" spans="1:15" x14ac:dyDescent="0.25">
      <c r="A141" s="4">
        <v>139</v>
      </c>
      <c r="B141">
        <v>2.968</v>
      </c>
      <c r="C141">
        <v>3.0049999999999999</v>
      </c>
      <c r="D141">
        <v>2.9820000000000002</v>
      </c>
      <c r="E141">
        <v>2.9950000000000001</v>
      </c>
      <c r="F141">
        <v>3.012</v>
      </c>
      <c r="G141">
        <v>3.0169999999999999</v>
      </c>
      <c r="H141">
        <v>3.0059999999999998</v>
      </c>
      <c r="I141">
        <v>3.0249999999999999</v>
      </c>
      <c r="J141">
        <v>3.0070000000000001</v>
      </c>
      <c r="K141">
        <v>2.9830000000000001</v>
      </c>
      <c r="L141">
        <v>2.9769999999999999</v>
      </c>
      <c r="M141">
        <v>3</v>
      </c>
      <c r="N141" s="14"/>
      <c r="O141" s="13"/>
    </row>
    <row r="142" spans="1:15" x14ac:dyDescent="0.25">
      <c r="A142" s="4">
        <v>140</v>
      </c>
      <c r="B142">
        <v>2.9980000000000002</v>
      </c>
      <c r="C142">
        <v>2.992</v>
      </c>
      <c r="D142">
        <v>3.0009999999999999</v>
      </c>
      <c r="E142">
        <v>3.0070000000000001</v>
      </c>
      <c r="F142">
        <v>3.0150000000000001</v>
      </c>
      <c r="G142">
        <v>2.988</v>
      </c>
      <c r="H142">
        <v>3.0089999999999999</v>
      </c>
      <c r="I142">
        <v>3.0209999999999999</v>
      </c>
      <c r="J142">
        <v>3</v>
      </c>
      <c r="K142">
        <v>3.0259999999999998</v>
      </c>
      <c r="L142">
        <v>3.0419999999999998</v>
      </c>
      <c r="M142">
        <v>3.0139999999999998</v>
      </c>
      <c r="N142" s="14"/>
      <c r="O142" s="13"/>
    </row>
    <row r="143" spans="1:15" x14ac:dyDescent="0.25">
      <c r="A143" s="4">
        <v>141</v>
      </c>
      <c r="B143">
        <v>3.008</v>
      </c>
      <c r="C143">
        <v>2.9940000000000002</v>
      </c>
      <c r="D143">
        <v>2.9849999999999999</v>
      </c>
      <c r="E143">
        <v>3.0209999999999999</v>
      </c>
      <c r="F143">
        <v>2.9929999999999999</v>
      </c>
      <c r="G143">
        <v>2.996</v>
      </c>
      <c r="H143">
        <v>2.9820000000000002</v>
      </c>
      <c r="I143">
        <v>2.9820000000000002</v>
      </c>
      <c r="J143">
        <v>3.024</v>
      </c>
      <c r="K143">
        <v>3.004</v>
      </c>
      <c r="L143">
        <v>3.0409999999999999</v>
      </c>
      <c r="M143">
        <v>3.0219999999999998</v>
      </c>
      <c r="N143" s="14"/>
      <c r="O143" s="13"/>
    </row>
    <row r="144" spans="1:15" x14ac:dyDescent="0.25">
      <c r="A144" s="4">
        <v>142</v>
      </c>
      <c r="B144">
        <v>2.9889999999999999</v>
      </c>
      <c r="C144">
        <v>3.004</v>
      </c>
      <c r="D144">
        <v>2.996</v>
      </c>
      <c r="E144">
        <v>2.9780000000000002</v>
      </c>
      <c r="F144">
        <v>2.9660000000000002</v>
      </c>
      <c r="G144">
        <v>2.9910000000000001</v>
      </c>
      <c r="H144">
        <v>2.9940000000000002</v>
      </c>
      <c r="I144">
        <v>2.9870000000000001</v>
      </c>
      <c r="J144">
        <v>3.0259999999999998</v>
      </c>
      <c r="K144">
        <v>3.0329999999999999</v>
      </c>
      <c r="L144">
        <v>2.99</v>
      </c>
      <c r="M144">
        <v>2.9820000000000002</v>
      </c>
      <c r="N144" s="14"/>
      <c r="O144" s="13"/>
    </row>
    <row r="145" spans="1:15" x14ac:dyDescent="0.25">
      <c r="A145" s="4">
        <v>143</v>
      </c>
      <c r="B145">
        <v>3.0070000000000001</v>
      </c>
      <c r="C145">
        <v>2.9990000000000001</v>
      </c>
      <c r="D145">
        <v>3.0059999999999998</v>
      </c>
      <c r="E145">
        <v>3.0019999999999998</v>
      </c>
      <c r="F145">
        <v>3.0009999999999999</v>
      </c>
      <c r="G145">
        <v>2.984</v>
      </c>
      <c r="H145">
        <v>2.992</v>
      </c>
      <c r="I145">
        <v>3.01</v>
      </c>
      <c r="J145">
        <v>2.9780000000000002</v>
      </c>
      <c r="K145">
        <v>2.9889999999999999</v>
      </c>
      <c r="L145">
        <v>2.99</v>
      </c>
      <c r="M145">
        <v>2.9870000000000001</v>
      </c>
      <c r="N145" s="14"/>
      <c r="O145" s="13"/>
    </row>
    <row r="146" spans="1:15" x14ac:dyDescent="0.25">
      <c r="A146" s="4">
        <v>144</v>
      </c>
      <c r="B146">
        <v>3.0019999999999998</v>
      </c>
      <c r="C146">
        <v>2.9950000000000001</v>
      </c>
      <c r="D146">
        <v>2.9889999999999999</v>
      </c>
      <c r="E146">
        <v>3.0009999999999999</v>
      </c>
      <c r="F146">
        <v>2.9820000000000002</v>
      </c>
      <c r="G146">
        <v>3.0059999999999998</v>
      </c>
      <c r="H146">
        <v>2.9809999999999999</v>
      </c>
      <c r="I146">
        <v>2.9910000000000001</v>
      </c>
      <c r="J146">
        <v>2.9809999999999999</v>
      </c>
      <c r="K146">
        <v>2.9769999999999999</v>
      </c>
      <c r="L146">
        <v>2.9860000000000002</v>
      </c>
      <c r="M146">
        <v>2.9969999999999999</v>
      </c>
      <c r="N146" s="14"/>
      <c r="O146" s="13"/>
    </row>
    <row r="147" spans="1:15" x14ac:dyDescent="0.25">
      <c r="A147" s="4">
        <v>145</v>
      </c>
      <c r="B147">
        <v>3.0019999999999998</v>
      </c>
      <c r="C147">
        <v>2.964</v>
      </c>
      <c r="D147">
        <v>2.9830000000000001</v>
      </c>
      <c r="E147">
        <v>2.9929999999999999</v>
      </c>
      <c r="F147">
        <v>2.97</v>
      </c>
      <c r="G147">
        <v>3.0009999999999999</v>
      </c>
      <c r="H147"/>
      <c r="I147"/>
      <c r="J147"/>
      <c r="K147"/>
      <c r="L147"/>
      <c r="M147"/>
      <c r="N147" s="14"/>
      <c r="O147" s="13"/>
    </row>
    <row r="148" spans="1:15" ht="16.2" x14ac:dyDescent="0.25">
      <c r="A148" s="21" t="s">
        <v>38</v>
      </c>
      <c r="B148" s="22">
        <f t="shared" ref="B148:M148" si="0">COUNTA(B3:B147)</f>
        <v>131</v>
      </c>
      <c r="C148" s="22">
        <f t="shared" si="0"/>
        <v>131</v>
      </c>
      <c r="D148" s="22">
        <f t="shared" si="0"/>
        <v>131</v>
      </c>
      <c r="E148" s="22">
        <f t="shared" si="0"/>
        <v>131</v>
      </c>
      <c r="F148" s="22">
        <f t="shared" si="0"/>
        <v>131</v>
      </c>
      <c r="G148" s="22">
        <f t="shared" si="0"/>
        <v>131</v>
      </c>
      <c r="H148" s="22">
        <f t="shared" si="0"/>
        <v>135</v>
      </c>
      <c r="I148" s="22">
        <f t="shared" si="0"/>
        <v>136</v>
      </c>
      <c r="J148" s="22">
        <f t="shared" si="0"/>
        <v>136</v>
      </c>
      <c r="K148" s="22">
        <f t="shared" si="0"/>
        <v>135</v>
      </c>
      <c r="L148" s="22">
        <f t="shared" si="0"/>
        <v>135</v>
      </c>
      <c r="M148" s="22">
        <f t="shared" si="0"/>
        <v>135</v>
      </c>
      <c r="N148" s="23">
        <f>SUM(B148:M148)</f>
        <v>1598</v>
      </c>
    </row>
    <row r="149" spans="1:15" ht="16.2" x14ac:dyDescent="0.4">
      <c r="A149" s="24" t="s">
        <v>41</v>
      </c>
      <c r="B149" s="22">
        <f t="shared" ref="B149:M149" si="1">COUNTIF(B3:B147,"&gt;=2.94")-COUNTIF(B4:B147,"&gt;=3.06")</f>
        <v>129</v>
      </c>
      <c r="C149" s="22">
        <f t="shared" si="1"/>
        <v>131</v>
      </c>
      <c r="D149" s="22">
        <f t="shared" si="1"/>
        <v>130</v>
      </c>
      <c r="E149" s="22">
        <f t="shared" si="1"/>
        <v>131</v>
      </c>
      <c r="F149" s="22">
        <f t="shared" si="1"/>
        <v>131</v>
      </c>
      <c r="G149" s="22">
        <f t="shared" si="1"/>
        <v>131</v>
      </c>
      <c r="H149" s="22">
        <f t="shared" si="1"/>
        <v>135</v>
      </c>
      <c r="I149" s="22">
        <f t="shared" si="1"/>
        <v>136</v>
      </c>
      <c r="J149" s="22">
        <f t="shared" si="1"/>
        <v>135</v>
      </c>
      <c r="K149" s="22">
        <f t="shared" si="1"/>
        <v>135</v>
      </c>
      <c r="L149" s="22">
        <f t="shared" si="1"/>
        <v>135</v>
      </c>
      <c r="M149" s="22">
        <f t="shared" si="1"/>
        <v>135</v>
      </c>
      <c r="N149" s="20">
        <f>SUM(B149:M149)</f>
        <v>1594</v>
      </c>
    </row>
    <row r="150" spans="1:15" ht="31.8" customHeight="1" x14ac:dyDescent="0.25">
      <c r="A150" s="25" t="s">
        <v>44</v>
      </c>
      <c r="B150" s="26">
        <f>B149/B148</f>
        <v>0.98473282442748089</v>
      </c>
      <c r="C150" s="26">
        <f t="shared" ref="C150:N150" si="2">C149/C148</f>
        <v>1</v>
      </c>
      <c r="D150" s="26">
        <f t="shared" si="2"/>
        <v>0.99236641221374045</v>
      </c>
      <c r="E150" s="26">
        <f t="shared" si="2"/>
        <v>1</v>
      </c>
      <c r="F150" s="26">
        <f t="shared" si="2"/>
        <v>1</v>
      </c>
      <c r="G150" s="26">
        <f t="shared" si="2"/>
        <v>1</v>
      </c>
      <c r="H150" s="26">
        <f t="shared" si="2"/>
        <v>1</v>
      </c>
      <c r="I150" s="26">
        <f t="shared" si="2"/>
        <v>1</v>
      </c>
      <c r="J150" s="26">
        <f t="shared" si="2"/>
        <v>0.99264705882352944</v>
      </c>
      <c r="K150" s="26">
        <f t="shared" si="2"/>
        <v>1</v>
      </c>
      <c r="L150" s="26">
        <f t="shared" si="2"/>
        <v>1</v>
      </c>
      <c r="M150" s="26">
        <f t="shared" si="2"/>
        <v>1</v>
      </c>
      <c r="N150" s="26">
        <f t="shared" si="2"/>
        <v>0.99749687108886109</v>
      </c>
    </row>
    <row r="151" spans="1:15" ht="16.2" x14ac:dyDescent="0.4">
      <c r="A151" s="24" t="s">
        <v>42</v>
      </c>
      <c r="B151" s="22">
        <f t="shared" ref="B151:M151" si="3">COUNTIF(B3:B148,"&gt;=2.91")-COUNTIF(B5:B148,"&gt;=3.09")</f>
        <v>131</v>
      </c>
      <c r="C151" s="22">
        <f t="shared" si="3"/>
        <v>131</v>
      </c>
      <c r="D151" s="22">
        <f t="shared" si="3"/>
        <v>131</v>
      </c>
      <c r="E151" s="22">
        <f t="shared" si="3"/>
        <v>131</v>
      </c>
      <c r="F151" s="22">
        <f t="shared" si="3"/>
        <v>131</v>
      </c>
      <c r="G151" s="22">
        <f t="shared" si="3"/>
        <v>131</v>
      </c>
      <c r="H151" s="22">
        <f t="shared" si="3"/>
        <v>135</v>
      </c>
      <c r="I151" s="22">
        <f t="shared" si="3"/>
        <v>136</v>
      </c>
      <c r="J151" s="22">
        <f t="shared" si="3"/>
        <v>136</v>
      </c>
      <c r="K151" s="22">
        <f t="shared" si="3"/>
        <v>135</v>
      </c>
      <c r="L151" s="22">
        <f t="shared" si="3"/>
        <v>135</v>
      </c>
      <c r="M151" s="22">
        <f t="shared" si="3"/>
        <v>135</v>
      </c>
      <c r="N151" s="20">
        <f>SUM(B151:M151)</f>
        <v>1598</v>
      </c>
    </row>
    <row r="152" spans="1:15" ht="16.2" x14ac:dyDescent="0.4">
      <c r="A152" s="24" t="s">
        <v>43</v>
      </c>
      <c r="B152" s="22">
        <f t="shared" ref="B152:M152" si="4">COUNTIF(B3:B147,"&gt;=2.85")-COUNTIF(B3:B147,"&gt;=3.15")</f>
        <v>131</v>
      </c>
      <c r="C152" s="22">
        <f t="shared" si="4"/>
        <v>131</v>
      </c>
      <c r="D152" s="22">
        <f t="shared" si="4"/>
        <v>131</v>
      </c>
      <c r="E152" s="22">
        <f t="shared" si="4"/>
        <v>131</v>
      </c>
      <c r="F152" s="22">
        <f t="shared" si="4"/>
        <v>131</v>
      </c>
      <c r="G152" s="22">
        <f t="shared" si="4"/>
        <v>131</v>
      </c>
      <c r="H152" s="22">
        <f t="shared" si="4"/>
        <v>135</v>
      </c>
      <c r="I152" s="22">
        <f t="shared" si="4"/>
        <v>136</v>
      </c>
      <c r="J152" s="22">
        <f t="shared" si="4"/>
        <v>136</v>
      </c>
      <c r="K152" s="22">
        <f t="shared" si="4"/>
        <v>135</v>
      </c>
      <c r="L152" s="22">
        <f t="shared" si="4"/>
        <v>135</v>
      </c>
      <c r="M152" s="22">
        <f t="shared" si="4"/>
        <v>135</v>
      </c>
      <c r="N152" s="20">
        <f>SUM(B152:M152)</f>
        <v>1598</v>
      </c>
    </row>
    <row r="153" spans="1:15" ht="14.4" x14ac:dyDescent="0.25">
      <c r="A153" s="12" t="s">
        <v>0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</row>
    <row r="154" spans="1:15" ht="28.2" x14ac:dyDescent="0.25">
      <c r="A154" s="2" t="s">
        <v>2</v>
      </c>
      <c r="B154" s="3" t="s">
        <v>18</v>
      </c>
      <c r="C154" s="3" t="s">
        <v>15</v>
      </c>
      <c r="D154" s="3" t="s">
        <v>19</v>
      </c>
      <c r="E154" s="3" t="s">
        <v>20</v>
      </c>
      <c r="F154" s="3" t="s">
        <v>16</v>
      </c>
      <c r="G154" s="3" t="s">
        <v>21</v>
      </c>
      <c r="H154" s="3" t="s">
        <v>22</v>
      </c>
      <c r="I154" s="3" t="s">
        <v>23</v>
      </c>
      <c r="J154" s="3" t="s">
        <v>24</v>
      </c>
      <c r="K154" s="3" t="s">
        <v>25</v>
      </c>
      <c r="L154" s="3" t="s">
        <v>26</v>
      </c>
      <c r="M154" s="3" t="s">
        <v>27</v>
      </c>
    </row>
    <row r="155" spans="1:15" ht="14.4" x14ac:dyDescent="0.25">
      <c r="A155" s="4" t="s">
        <v>28</v>
      </c>
      <c r="B155" s="19">
        <f t="shared" ref="B155:M155" si="5">AVERAGE(B3:B147)</f>
        <v>2.9981145038167942</v>
      </c>
      <c r="C155" s="19">
        <f t="shared" si="5"/>
        <v>2.9978931297709921</v>
      </c>
      <c r="D155" s="19">
        <f t="shared" si="5"/>
        <v>2.9978702290076331</v>
      </c>
      <c r="E155" s="19">
        <f t="shared" si="5"/>
        <v>2.9982519083969468</v>
      </c>
      <c r="F155" s="19">
        <f t="shared" si="5"/>
        <v>2.9979389312977101</v>
      </c>
      <c r="G155" s="19">
        <f t="shared" si="5"/>
        <v>3.0012900763358776</v>
      </c>
      <c r="H155" s="19">
        <f t="shared" si="5"/>
        <v>2.9982888888888914</v>
      </c>
      <c r="I155" s="19">
        <f t="shared" si="5"/>
        <v>2.9985000000000004</v>
      </c>
      <c r="J155" s="19">
        <f t="shared" si="5"/>
        <v>2.9992867647058805</v>
      </c>
      <c r="K155" s="19">
        <f t="shared" si="5"/>
        <v>2.9982222222222208</v>
      </c>
      <c r="L155" s="19">
        <f t="shared" si="5"/>
        <v>3.0002666666666657</v>
      </c>
      <c r="M155" s="19">
        <f t="shared" si="5"/>
        <v>2.998592592592594</v>
      </c>
    </row>
    <row r="156" spans="1:15" ht="14.4" x14ac:dyDescent="0.25">
      <c r="A156" s="4" t="s">
        <v>29</v>
      </c>
      <c r="B156" s="19">
        <f t="shared" ref="B156:M156" si="6">MIN(B3:B147)</f>
        <v>2.9390000000000001</v>
      </c>
      <c r="C156" s="19">
        <f t="shared" si="6"/>
        <v>2.9409999999999998</v>
      </c>
      <c r="D156" s="19">
        <f t="shared" si="6"/>
        <v>2.923</v>
      </c>
      <c r="E156" s="19">
        <f t="shared" si="6"/>
        <v>2.9460000000000002</v>
      </c>
      <c r="F156" s="19">
        <f t="shared" si="6"/>
        <v>2.9409999999999998</v>
      </c>
      <c r="G156" s="19">
        <f t="shared" si="6"/>
        <v>2.9649999999999999</v>
      </c>
      <c r="H156" s="19">
        <f t="shared" si="6"/>
        <v>2.94</v>
      </c>
      <c r="I156" s="19">
        <f t="shared" si="6"/>
        <v>2.9460000000000002</v>
      </c>
      <c r="J156" s="19">
        <f t="shared" si="6"/>
        <v>2.96</v>
      </c>
      <c r="K156" s="19">
        <f t="shared" si="6"/>
        <v>2.9540000000000002</v>
      </c>
      <c r="L156" s="19">
        <f t="shared" si="6"/>
        <v>2.9609999999999999</v>
      </c>
      <c r="M156" s="19">
        <f t="shared" si="6"/>
        <v>2.9529999999999998</v>
      </c>
    </row>
    <row r="157" spans="1:15" ht="14.4" x14ac:dyDescent="0.25">
      <c r="A157" s="4" t="s">
        <v>30</v>
      </c>
      <c r="B157" s="19">
        <f t="shared" ref="B157:M157" si="7">MAX(B3:B147)</f>
        <v>3.0659999999999998</v>
      </c>
      <c r="C157" s="19">
        <f t="shared" si="7"/>
        <v>3.0350000000000001</v>
      </c>
      <c r="D157" s="19">
        <f t="shared" si="7"/>
        <v>3.0409999999999999</v>
      </c>
      <c r="E157" s="19">
        <f t="shared" si="7"/>
        <v>3.0329999999999999</v>
      </c>
      <c r="F157" s="19">
        <f t="shared" si="7"/>
        <v>3.0339999999999998</v>
      </c>
      <c r="G157" s="19">
        <f t="shared" si="7"/>
        <v>3.0569999999999999</v>
      </c>
      <c r="H157" s="19">
        <f t="shared" si="7"/>
        <v>3.0459999999999998</v>
      </c>
      <c r="I157" s="19">
        <f t="shared" si="7"/>
        <v>3.0590000000000002</v>
      </c>
      <c r="J157" s="19">
        <f t="shared" si="7"/>
        <v>3.0609999999999999</v>
      </c>
      <c r="K157" s="19">
        <f t="shared" si="7"/>
        <v>3.0489999999999999</v>
      </c>
      <c r="L157" s="19">
        <f t="shared" si="7"/>
        <v>3.052</v>
      </c>
      <c r="M157" s="19">
        <f t="shared" si="7"/>
        <v>3.0569999999999999</v>
      </c>
    </row>
    <row r="158" spans="1:15" ht="14.4" x14ac:dyDescent="0.25">
      <c r="A158" s="4" t="s">
        <v>1</v>
      </c>
      <c r="B158" s="19">
        <f t="shared" ref="B158:M158" si="8">_xlfn.STDEV.P(B3:B147)</f>
        <v>2.1131952298827184E-2</v>
      </c>
      <c r="C158" s="19">
        <f t="shared" si="8"/>
        <v>1.6208211992877558E-2</v>
      </c>
      <c r="D158" s="19">
        <f t="shared" si="8"/>
        <v>1.8973825662024442E-2</v>
      </c>
      <c r="E158" s="19">
        <f t="shared" si="8"/>
        <v>1.7419539573520316E-2</v>
      </c>
      <c r="F158" s="19">
        <f t="shared" si="8"/>
        <v>1.6524677694396212E-2</v>
      </c>
      <c r="G158" s="19">
        <f t="shared" si="8"/>
        <v>1.7877226995044283E-2</v>
      </c>
      <c r="H158" s="19">
        <f t="shared" si="8"/>
        <v>1.6545724150194195E-2</v>
      </c>
      <c r="I158" s="19">
        <f t="shared" si="8"/>
        <v>1.9522611324850364E-2</v>
      </c>
      <c r="J158" s="19">
        <f t="shared" si="8"/>
        <v>1.9843471325318898E-2</v>
      </c>
      <c r="K158" s="19">
        <f t="shared" si="8"/>
        <v>1.8057794732947937E-2</v>
      </c>
      <c r="L158" s="19">
        <f t="shared" si="8"/>
        <v>1.7768970040390526E-2</v>
      </c>
      <c r="M158" s="19">
        <f t="shared" si="8"/>
        <v>1.6822954466506973E-2</v>
      </c>
    </row>
    <row r="159" spans="1:15" x14ac:dyDescent="0.25">
      <c r="A159" s="4" t="s">
        <v>33</v>
      </c>
      <c r="B159" s="19">
        <f>3*B158</f>
        <v>6.3395856896481556E-2</v>
      </c>
      <c r="C159" s="19">
        <f t="shared" ref="C159:M159" si="9">3*C158</f>
        <v>4.8624635978632674E-2</v>
      </c>
      <c r="D159" s="19">
        <f t="shared" si="9"/>
        <v>5.6921476986073326E-2</v>
      </c>
      <c r="E159" s="19">
        <f t="shared" si="9"/>
        <v>5.2258618720560951E-2</v>
      </c>
      <c r="F159" s="19">
        <f t="shared" si="9"/>
        <v>4.957403308318864E-2</v>
      </c>
      <c r="G159" s="19">
        <f t="shared" si="9"/>
        <v>5.3631680985132851E-2</v>
      </c>
      <c r="H159" s="19">
        <f t="shared" si="9"/>
        <v>4.9637172450582585E-2</v>
      </c>
      <c r="I159" s="19">
        <f t="shared" si="9"/>
        <v>5.8567833974551092E-2</v>
      </c>
      <c r="J159" s="19">
        <f t="shared" si="9"/>
        <v>5.9530413975956695E-2</v>
      </c>
      <c r="K159" s="19">
        <f t="shared" si="9"/>
        <v>5.4173384198843808E-2</v>
      </c>
      <c r="L159" s="19">
        <f t="shared" si="9"/>
        <v>5.3306910121171579E-2</v>
      </c>
      <c r="M159" s="19">
        <f t="shared" si="9"/>
        <v>5.0468863399520919E-2</v>
      </c>
    </row>
    <row r="160" spans="1:15" x14ac:dyDescent="0.25">
      <c r="A160" s="4" t="s">
        <v>34</v>
      </c>
      <c r="B160" s="30">
        <f>(3*1.03-B155)/B159</f>
        <v>1.4493927628937096</v>
      </c>
      <c r="C160" s="30">
        <f t="shared" ref="C160:M160" si="10">(3*1.03-C155)/C159</f>
        <v>1.8942428745272801</v>
      </c>
      <c r="D160" s="30">
        <f t="shared" si="10"/>
        <v>1.6185414692402946</v>
      </c>
      <c r="E160" s="30">
        <f t="shared" si="10"/>
        <v>1.7556547388604276</v>
      </c>
      <c r="F160" s="30">
        <f t="shared" si="10"/>
        <v>1.8570421443783884</v>
      </c>
      <c r="G160" s="30">
        <f t="shared" si="10"/>
        <v>1.654058236375499</v>
      </c>
      <c r="H160" s="30">
        <f t="shared" si="10"/>
        <v>1.8476296409190811</v>
      </c>
      <c r="I160" s="30">
        <f t="shared" si="10"/>
        <v>1.562291001571922</v>
      </c>
      <c r="J160" s="30">
        <f t="shared" si="10"/>
        <v>1.523813278549631</v>
      </c>
      <c r="K160" s="30">
        <f t="shared" si="10"/>
        <v>1.6941488728285472</v>
      </c>
      <c r="L160" s="30">
        <f t="shared" si="10"/>
        <v>1.6833339829557157</v>
      </c>
      <c r="M160" s="30">
        <f t="shared" si="10"/>
        <v>1.8111643744343473</v>
      </c>
    </row>
    <row r="161" spans="1:13" x14ac:dyDescent="0.25">
      <c r="A161" s="4" t="s">
        <v>35</v>
      </c>
      <c r="B161" s="11">
        <f>(B155-3*0.97)/B159</f>
        <v>1.3899095008791404</v>
      </c>
      <c r="C161" s="11">
        <f t="shared" ref="C161:M161" si="11">(C155-3*0.97)/C159</f>
        <v>1.8075843243251259</v>
      </c>
      <c r="D161" s="11">
        <f t="shared" si="11"/>
        <v>1.5437095743164169</v>
      </c>
      <c r="E161" s="11">
        <f t="shared" si="11"/>
        <v>1.6887531771333302</v>
      </c>
      <c r="F161" s="11">
        <f t="shared" si="11"/>
        <v>1.7738910035853312</v>
      </c>
      <c r="G161" s="11">
        <f t="shared" si="11"/>
        <v>1.7021669777828492</v>
      </c>
      <c r="H161" s="11">
        <f t="shared" si="11"/>
        <v>1.7786848954135999</v>
      </c>
      <c r="I161" s="11">
        <f t="shared" si="11"/>
        <v>1.5110683457826917</v>
      </c>
      <c r="J161" s="11">
        <f t="shared" si="11"/>
        <v>1.4998512313712744</v>
      </c>
      <c r="K161" s="11">
        <f t="shared" si="11"/>
        <v>1.6285159867140722</v>
      </c>
      <c r="L161" s="11">
        <f t="shared" si="11"/>
        <v>1.6933389397637391</v>
      </c>
      <c r="M161" s="11">
        <f t="shared" si="11"/>
        <v>1.7553910792735401</v>
      </c>
    </row>
    <row r="162" spans="1:13" ht="16.2" x14ac:dyDescent="0.25">
      <c r="A162" s="4" t="s">
        <v>36</v>
      </c>
      <c r="B162" s="10">
        <f>MIN(B160,B161)</f>
        <v>1.3899095008791404</v>
      </c>
      <c r="C162" s="10">
        <f t="shared" ref="C162:M162" si="12">MIN(C160,C161)</f>
        <v>1.8075843243251259</v>
      </c>
      <c r="D162" s="10">
        <f t="shared" si="12"/>
        <v>1.5437095743164169</v>
      </c>
      <c r="E162" s="10">
        <f t="shared" si="12"/>
        <v>1.6887531771333302</v>
      </c>
      <c r="F162" s="10">
        <f t="shared" si="12"/>
        <v>1.7738910035853312</v>
      </c>
      <c r="G162" s="10">
        <f t="shared" si="12"/>
        <v>1.654058236375499</v>
      </c>
      <c r="H162" s="10">
        <f t="shared" si="12"/>
        <v>1.7786848954135999</v>
      </c>
      <c r="I162" s="10">
        <f t="shared" si="12"/>
        <v>1.5110683457826917</v>
      </c>
      <c r="J162" s="10">
        <f t="shared" si="12"/>
        <v>1.4998512313712744</v>
      </c>
      <c r="K162" s="10">
        <f t="shared" si="12"/>
        <v>1.6285159867140722</v>
      </c>
      <c r="L162" s="10">
        <f t="shared" si="12"/>
        <v>1.6833339829557157</v>
      </c>
      <c r="M162" s="10">
        <f t="shared" si="12"/>
        <v>1.7553910792735401</v>
      </c>
    </row>
    <row r="163" spans="1:13" x14ac:dyDescent="0.25">
      <c r="A163" s="1"/>
    </row>
    <row r="164" spans="1:13" ht="14.4" x14ac:dyDescent="0.25">
      <c r="A164" s="1"/>
      <c r="B164" s="9" t="s">
        <v>31</v>
      </c>
      <c r="H164" s="9" t="s">
        <v>32</v>
      </c>
    </row>
  </sheetData>
  <autoFilter ref="A2:M2" xr:uid="{00000000-0009-0000-0000-000000000000}">
    <sortState ref="A3:M148">
      <sortCondition ref="A2"/>
    </sortState>
  </autoFilter>
  <mergeCells count="1">
    <mergeCell ref="A1:M1"/>
  </mergeCells>
  <phoneticPr fontId="1" type="noConversion"/>
  <pageMargins left="0.25" right="0.25" top="0.75" bottom="0.75" header="0.3" footer="0.3"/>
  <pageSetup paperSize="9" fitToHeight="0" orientation="landscape" r:id="rId1"/>
  <headerFooter>
    <oddFooter>&amp;C第 &amp;P 页，共 &amp;N 页</oddFooter>
  </headerFooter>
  <ignoredErrors>
    <ignoredError sqref="B156:M156 C155:M155 B158:M158 C157:M15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0A35-8A5C-4270-A895-0FB27BF5EE14}">
  <dimension ref="A1:P71"/>
  <sheetViews>
    <sheetView workbookViewId="0">
      <selection sqref="A1:XFD1"/>
    </sheetView>
  </sheetViews>
  <sheetFormatPr defaultRowHeight="13.8" x14ac:dyDescent="0.25"/>
  <cols>
    <col min="1" max="1" width="12.21875" bestFit="1" customWidth="1"/>
  </cols>
  <sheetData>
    <row r="1" spans="1:16" x14ac:dyDescent="0.25">
      <c r="A1" t="s">
        <v>49</v>
      </c>
      <c r="B1" t="s">
        <v>48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 t="s">
        <v>45</v>
      </c>
    </row>
    <row r="2" spans="1:16" x14ac:dyDescent="0.25">
      <c r="A2" t="s">
        <v>51</v>
      </c>
      <c r="B2" s="28">
        <v>0.56361111111111117</v>
      </c>
      <c r="I2" s="29">
        <v>1.964</v>
      </c>
      <c r="J2" s="29">
        <v>1.863</v>
      </c>
      <c r="K2" s="29">
        <v>1.899</v>
      </c>
      <c r="L2" s="29">
        <v>1.875</v>
      </c>
      <c r="M2" s="29">
        <v>1.788</v>
      </c>
      <c r="N2" s="29">
        <v>1.952</v>
      </c>
      <c r="O2" t="s">
        <v>46</v>
      </c>
      <c r="P2" t="s">
        <v>47</v>
      </c>
    </row>
    <row r="3" spans="1:16" x14ac:dyDescent="0.25">
      <c r="A3" t="s">
        <v>51</v>
      </c>
      <c r="B3" s="28">
        <v>0.56431712962962965</v>
      </c>
      <c r="C3" s="29">
        <v>1.81</v>
      </c>
      <c r="D3" s="29">
        <v>2.008</v>
      </c>
      <c r="E3" s="29">
        <v>1.8080000000000001</v>
      </c>
      <c r="F3" s="29">
        <v>1.901</v>
      </c>
      <c r="G3" s="29">
        <v>1.863</v>
      </c>
      <c r="H3" s="29">
        <v>1.929</v>
      </c>
      <c r="I3">
        <v>2.1349999999999998</v>
      </c>
      <c r="J3">
        <v>2.1459999999999999</v>
      </c>
      <c r="K3">
        <v>2.1429999999999998</v>
      </c>
      <c r="L3">
        <v>2.153</v>
      </c>
      <c r="M3">
        <v>2.137</v>
      </c>
      <c r="N3">
        <v>2.1349999999999998</v>
      </c>
      <c r="O3" t="s">
        <v>46</v>
      </c>
      <c r="P3" t="s">
        <v>47</v>
      </c>
    </row>
    <row r="4" spans="1:16" x14ac:dyDescent="0.25">
      <c r="A4" t="s">
        <v>51</v>
      </c>
      <c r="B4" s="28">
        <v>0.56586805555555553</v>
      </c>
      <c r="C4">
        <v>2.1579999999999999</v>
      </c>
      <c r="D4">
        <v>2.1339999999999999</v>
      </c>
      <c r="E4">
        <v>2.145</v>
      </c>
      <c r="F4">
        <v>2.1589999999999998</v>
      </c>
      <c r="G4">
        <v>2.1419999999999999</v>
      </c>
      <c r="H4">
        <v>2.1459999999999999</v>
      </c>
      <c r="I4">
        <v>2.1459999999999999</v>
      </c>
      <c r="J4">
        <v>2.1720000000000002</v>
      </c>
      <c r="K4">
        <v>2.145</v>
      </c>
      <c r="L4">
        <v>2.1629999999999998</v>
      </c>
      <c r="M4">
        <v>2.1469999999999998</v>
      </c>
      <c r="N4">
        <v>2.1190000000000002</v>
      </c>
      <c r="O4" t="s">
        <v>46</v>
      </c>
      <c r="P4" t="s">
        <v>47</v>
      </c>
    </row>
    <row r="5" spans="1:16" x14ac:dyDescent="0.25">
      <c r="A5" t="s">
        <v>51</v>
      </c>
      <c r="B5" s="28">
        <v>0.56729166666666664</v>
      </c>
      <c r="C5">
        <v>2.1539999999999999</v>
      </c>
      <c r="D5">
        <v>2.1160000000000001</v>
      </c>
      <c r="E5">
        <v>2.1339999999999999</v>
      </c>
      <c r="F5">
        <v>2.1019999999999999</v>
      </c>
      <c r="G5">
        <v>2.1509999999999998</v>
      </c>
      <c r="H5">
        <v>2.1560000000000001</v>
      </c>
      <c r="I5">
        <v>2.1339999999999999</v>
      </c>
      <c r="J5">
        <v>2.1080000000000001</v>
      </c>
      <c r="K5">
        <v>2.1589999999999998</v>
      </c>
      <c r="L5">
        <v>2.1019999999999999</v>
      </c>
      <c r="M5">
        <v>2.157</v>
      </c>
      <c r="N5">
        <v>2.0710000000000002</v>
      </c>
      <c r="O5" t="s">
        <v>46</v>
      </c>
      <c r="P5" t="s">
        <v>47</v>
      </c>
    </row>
    <row r="6" spans="1:16" x14ac:dyDescent="0.25">
      <c r="A6" t="s">
        <v>51</v>
      </c>
      <c r="B6" s="28">
        <v>0.56870370370370371</v>
      </c>
      <c r="C6">
        <v>2.161</v>
      </c>
      <c r="D6">
        <v>2.145</v>
      </c>
      <c r="E6">
        <v>2.1379999999999999</v>
      </c>
      <c r="F6">
        <v>2.121</v>
      </c>
      <c r="G6">
        <v>2.1360000000000001</v>
      </c>
      <c r="H6">
        <v>2.15</v>
      </c>
      <c r="I6">
        <v>2.129</v>
      </c>
      <c r="J6">
        <v>2.1040000000000001</v>
      </c>
      <c r="K6">
        <v>2.1379999999999999</v>
      </c>
      <c r="L6">
        <v>2.0920000000000001</v>
      </c>
      <c r="M6">
        <v>2.1389999999999998</v>
      </c>
      <c r="N6" s="29">
        <v>2.194</v>
      </c>
      <c r="O6" t="s">
        <v>46</v>
      </c>
      <c r="P6" t="s">
        <v>47</v>
      </c>
    </row>
    <row r="7" spans="1:16" x14ac:dyDescent="0.25">
      <c r="A7" t="s">
        <v>51</v>
      </c>
      <c r="B7" s="28">
        <v>0.57012731481481482</v>
      </c>
      <c r="C7">
        <v>2.1760000000000002</v>
      </c>
      <c r="D7">
        <v>2.1349999999999998</v>
      </c>
      <c r="E7">
        <v>2.1360000000000001</v>
      </c>
      <c r="F7">
        <v>2.1560000000000001</v>
      </c>
      <c r="G7">
        <v>2.1419999999999999</v>
      </c>
      <c r="H7">
        <v>2.1560000000000001</v>
      </c>
      <c r="I7">
        <v>2.1320000000000001</v>
      </c>
      <c r="J7">
        <v>2.101</v>
      </c>
      <c r="K7">
        <v>2.1419999999999999</v>
      </c>
      <c r="L7">
        <v>2.1120000000000001</v>
      </c>
      <c r="M7">
        <v>2.1509999999999998</v>
      </c>
      <c r="N7">
        <v>2.1160000000000001</v>
      </c>
      <c r="O7" t="s">
        <v>46</v>
      </c>
      <c r="P7" t="s">
        <v>47</v>
      </c>
    </row>
    <row r="8" spans="1:16" x14ac:dyDescent="0.25">
      <c r="A8" t="s">
        <v>51</v>
      </c>
      <c r="B8" s="28">
        <v>0.57523148148148151</v>
      </c>
      <c r="C8">
        <v>2.1240000000000001</v>
      </c>
      <c r="D8">
        <v>2.145</v>
      </c>
      <c r="E8">
        <v>2.1389999999999998</v>
      </c>
      <c r="F8">
        <v>2.157</v>
      </c>
      <c r="G8">
        <v>2.1320000000000001</v>
      </c>
      <c r="H8">
        <v>2.1629999999999998</v>
      </c>
      <c r="I8">
        <v>2.145</v>
      </c>
      <c r="J8">
        <v>2.0939999999999999</v>
      </c>
      <c r="K8">
        <v>2.1579999999999999</v>
      </c>
      <c r="L8">
        <v>2.1190000000000002</v>
      </c>
      <c r="M8">
        <v>2.129</v>
      </c>
      <c r="N8">
        <v>2.1059999999999999</v>
      </c>
      <c r="O8" t="s">
        <v>46</v>
      </c>
      <c r="P8" t="s">
        <v>47</v>
      </c>
    </row>
    <row r="9" spans="1:16" x14ac:dyDescent="0.25">
      <c r="A9" t="s">
        <v>51</v>
      </c>
      <c r="B9" s="28">
        <v>0.57664351851851847</v>
      </c>
      <c r="C9">
        <v>2.1</v>
      </c>
      <c r="D9">
        <v>2.1429999999999998</v>
      </c>
      <c r="E9">
        <v>2.1280000000000001</v>
      </c>
      <c r="F9">
        <v>2.133</v>
      </c>
      <c r="G9">
        <v>2.1120000000000001</v>
      </c>
      <c r="H9">
        <v>2.0699999999999998</v>
      </c>
      <c r="I9">
        <v>2.1429999999999998</v>
      </c>
      <c r="J9">
        <v>2.0870000000000002</v>
      </c>
      <c r="K9">
        <v>2.1520000000000001</v>
      </c>
      <c r="L9">
        <v>2.1120000000000001</v>
      </c>
      <c r="M9">
        <v>2.1469999999999998</v>
      </c>
      <c r="N9">
        <v>2.1219999999999999</v>
      </c>
      <c r="O9" t="s">
        <v>46</v>
      </c>
      <c r="P9" t="s">
        <v>47</v>
      </c>
    </row>
    <row r="10" spans="1:16" x14ac:dyDescent="0.25">
      <c r="A10" t="s">
        <v>51</v>
      </c>
      <c r="B10" s="28">
        <v>0.57806712962962969</v>
      </c>
      <c r="C10">
        <v>2.117</v>
      </c>
      <c r="D10">
        <v>2.1240000000000001</v>
      </c>
      <c r="E10">
        <v>2.13</v>
      </c>
      <c r="F10">
        <v>2.137</v>
      </c>
      <c r="G10">
        <v>2.1190000000000002</v>
      </c>
      <c r="H10">
        <v>2.1190000000000002</v>
      </c>
      <c r="I10">
        <v>2.1360000000000001</v>
      </c>
      <c r="J10">
        <v>2.093</v>
      </c>
      <c r="K10">
        <v>2.1379999999999999</v>
      </c>
      <c r="L10">
        <v>2.1</v>
      </c>
      <c r="M10">
        <v>2.1190000000000002</v>
      </c>
      <c r="N10">
        <v>2.1070000000000002</v>
      </c>
      <c r="O10" t="s">
        <v>46</v>
      </c>
      <c r="P10" t="s">
        <v>47</v>
      </c>
    </row>
    <row r="11" spans="1:16" x14ac:dyDescent="0.25">
      <c r="A11" t="s">
        <v>51</v>
      </c>
      <c r="B11" s="28">
        <v>0.57947916666666666</v>
      </c>
      <c r="C11">
        <v>2.1150000000000002</v>
      </c>
      <c r="D11">
        <v>2.1160000000000001</v>
      </c>
      <c r="E11">
        <v>2.11</v>
      </c>
      <c r="F11">
        <v>2.1429999999999998</v>
      </c>
      <c r="G11">
        <v>2.0910000000000002</v>
      </c>
      <c r="H11">
        <v>2.1019999999999999</v>
      </c>
      <c r="I11">
        <v>2.133</v>
      </c>
      <c r="J11">
        <v>2.1269999999999998</v>
      </c>
      <c r="K11">
        <v>2.1150000000000002</v>
      </c>
      <c r="L11">
        <v>2.113</v>
      </c>
      <c r="M11">
        <v>2.1339999999999999</v>
      </c>
      <c r="N11">
        <v>2.1309999999999998</v>
      </c>
      <c r="O11" t="s">
        <v>46</v>
      </c>
      <c r="P11" t="s">
        <v>47</v>
      </c>
    </row>
    <row r="12" spans="1:16" x14ac:dyDescent="0.25">
      <c r="A12" t="s">
        <v>51</v>
      </c>
      <c r="B12" s="28">
        <v>0.58090277777777777</v>
      </c>
      <c r="C12">
        <v>2.1160000000000001</v>
      </c>
      <c r="D12">
        <v>2.1360000000000001</v>
      </c>
      <c r="E12">
        <v>2.1160000000000001</v>
      </c>
      <c r="F12">
        <v>2.1190000000000002</v>
      </c>
      <c r="G12">
        <v>2.1080000000000001</v>
      </c>
      <c r="H12">
        <v>2.1190000000000002</v>
      </c>
      <c r="I12">
        <v>2.1230000000000002</v>
      </c>
      <c r="J12">
        <v>2.1320000000000001</v>
      </c>
      <c r="K12">
        <v>2.1080000000000001</v>
      </c>
      <c r="L12">
        <v>2.1150000000000002</v>
      </c>
      <c r="M12">
        <v>2.1269999999999998</v>
      </c>
      <c r="N12">
        <v>2.109</v>
      </c>
      <c r="O12" t="s">
        <v>46</v>
      </c>
      <c r="P12" t="s">
        <v>47</v>
      </c>
    </row>
    <row r="13" spans="1:16" x14ac:dyDescent="0.25">
      <c r="A13" t="s">
        <v>51</v>
      </c>
      <c r="B13" s="28">
        <v>0.58231481481481484</v>
      </c>
      <c r="C13">
        <v>2.1179999999999999</v>
      </c>
      <c r="D13">
        <v>2.1019999999999999</v>
      </c>
      <c r="E13">
        <v>2.12</v>
      </c>
      <c r="F13">
        <v>2.12</v>
      </c>
      <c r="G13">
        <v>2.109</v>
      </c>
      <c r="H13">
        <v>2.157</v>
      </c>
      <c r="O13" t="s">
        <v>46</v>
      </c>
      <c r="P13" t="s">
        <v>47</v>
      </c>
    </row>
    <row r="14" spans="1:16" x14ac:dyDescent="0.25">
      <c r="A14" t="s">
        <v>51</v>
      </c>
      <c r="B14" s="28">
        <v>0.58688657407407407</v>
      </c>
      <c r="I14">
        <v>2.1269999999999998</v>
      </c>
      <c r="J14">
        <v>2.1150000000000002</v>
      </c>
      <c r="K14">
        <v>2.1459999999999999</v>
      </c>
      <c r="L14">
        <v>2.1459999999999999</v>
      </c>
      <c r="M14">
        <v>2.1160000000000001</v>
      </c>
      <c r="N14">
        <v>2.1459999999999999</v>
      </c>
      <c r="O14" t="s">
        <v>46</v>
      </c>
      <c r="P14" t="s">
        <v>47</v>
      </c>
    </row>
    <row r="15" spans="1:16" x14ac:dyDescent="0.25">
      <c r="A15" t="s">
        <v>51</v>
      </c>
      <c r="B15" s="28">
        <v>0.58754629629629629</v>
      </c>
      <c r="C15">
        <v>2.1139999999999999</v>
      </c>
      <c r="D15">
        <v>2.113</v>
      </c>
      <c r="E15">
        <v>2.1030000000000002</v>
      </c>
      <c r="F15">
        <v>2.0920000000000001</v>
      </c>
      <c r="G15">
        <v>2.141</v>
      </c>
      <c r="H15">
        <v>2.117</v>
      </c>
      <c r="O15" t="s">
        <v>46</v>
      </c>
      <c r="P15" t="s">
        <v>47</v>
      </c>
    </row>
    <row r="16" spans="1:16" x14ac:dyDescent="0.25">
      <c r="A16" t="s">
        <v>51</v>
      </c>
      <c r="B16" s="28">
        <v>0.59215277777777775</v>
      </c>
      <c r="C16">
        <v>2.1080000000000001</v>
      </c>
      <c r="D16">
        <v>2.085</v>
      </c>
      <c r="E16">
        <v>2.0920000000000001</v>
      </c>
      <c r="F16">
        <v>2.0750000000000002</v>
      </c>
      <c r="G16">
        <v>2.093</v>
      </c>
      <c r="H16">
        <v>2.121</v>
      </c>
      <c r="I16">
        <v>2.1139999999999999</v>
      </c>
      <c r="J16">
        <v>2.0960000000000001</v>
      </c>
      <c r="K16">
        <v>2.1219999999999999</v>
      </c>
      <c r="L16">
        <v>2.1539999999999999</v>
      </c>
      <c r="M16">
        <v>2.1040000000000001</v>
      </c>
      <c r="N16">
        <v>2.1059999999999999</v>
      </c>
      <c r="O16" t="s">
        <v>46</v>
      </c>
      <c r="P16" t="s">
        <v>47</v>
      </c>
    </row>
    <row r="17" spans="1:16" x14ac:dyDescent="0.25">
      <c r="A17" t="s">
        <v>51</v>
      </c>
      <c r="B17" s="28">
        <v>0.59449074074074071</v>
      </c>
      <c r="C17">
        <v>2.1150000000000002</v>
      </c>
      <c r="D17">
        <v>2.117</v>
      </c>
      <c r="E17">
        <v>2.1190000000000002</v>
      </c>
      <c r="F17">
        <v>2.169</v>
      </c>
      <c r="G17">
        <v>2.1</v>
      </c>
      <c r="H17">
        <v>2.1349999999999998</v>
      </c>
      <c r="O17" t="s">
        <v>46</v>
      </c>
      <c r="P17" t="s">
        <v>47</v>
      </c>
    </row>
    <row r="18" spans="1:16" x14ac:dyDescent="0.25">
      <c r="A18" t="s">
        <v>51</v>
      </c>
      <c r="B18" s="28">
        <v>0.60725694444444445</v>
      </c>
      <c r="C18">
        <v>2.12</v>
      </c>
      <c r="D18">
        <v>2.1360000000000001</v>
      </c>
      <c r="E18">
        <v>2.1259999999999999</v>
      </c>
      <c r="F18">
        <v>2.1539999999999999</v>
      </c>
      <c r="G18">
        <v>2.125</v>
      </c>
      <c r="H18">
        <v>2.1139999999999999</v>
      </c>
      <c r="O18" t="s">
        <v>46</v>
      </c>
      <c r="P18" t="s">
        <v>47</v>
      </c>
    </row>
    <row r="19" spans="1:16" x14ac:dyDescent="0.25">
      <c r="A19" t="s">
        <v>51</v>
      </c>
      <c r="B19" s="28">
        <v>0.63722222222222225</v>
      </c>
      <c r="I19">
        <v>2.1059999999999999</v>
      </c>
      <c r="J19">
        <v>2.109</v>
      </c>
      <c r="K19">
        <v>2.1349999999999998</v>
      </c>
      <c r="L19">
        <v>2.1019999999999999</v>
      </c>
      <c r="M19">
        <v>2.1389999999999998</v>
      </c>
      <c r="N19">
        <v>2.1150000000000002</v>
      </c>
      <c r="O19" t="s">
        <v>46</v>
      </c>
      <c r="P19" t="s">
        <v>47</v>
      </c>
    </row>
    <row r="20" spans="1:16" x14ac:dyDescent="0.25">
      <c r="A20" t="s">
        <v>51</v>
      </c>
      <c r="B20" s="28">
        <v>0.6436574074074074</v>
      </c>
      <c r="C20">
        <v>2.121</v>
      </c>
      <c r="D20">
        <v>2.11</v>
      </c>
      <c r="E20">
        <v>2.1219999999999999</v>
      </c>
      <c r="F20">
        <v>2.1150000000000002</v>
      </c>
      <c r="G20">
        <v>2.101</v>
      </c>
      <c r="H20">
        <v>2.113</v>
      </c>
      <c r="I20">
        <v>2.1019999999999999</v>
      </c>
      <c r="J20">
        <v>2.0939999999999999</v>
      </c>
      <c r="K20">
        <v>2.153</v>
      </c>
      <c r="L20">
        <v>2.097</v>
      </c>
      <c r="M20">
        <v>2.1120000000000001</v>
      </c>
      <c r="N20">
        <v>2.133</v>
      </c>
      <c r="O20" t="s">
        <v>46</v>
      </c>
      <c r="P20" t="s">
        <v>47</v>
      </c>
    </row>
    <row r="21" spans="1:16" x14ac:dyDescent="0.25">
      <c r="A21" t="s">
        <v>51</v>
      </c>
      <c r="B21" s="28">
        <v>0.64516203703703701</v>
      </c>
      <c r="C21">
        <v>2.1259999999999999</v>
      </c>
      <c r="D21">
        <v>2.1139999999999999</v>
      </c>
      <c r="E21">
        <v>2.1150000000000002</v>
      </c>
      <c r="F21">
        <v>2.11</v>
      </c>
      <c r="G21">
        <v>2.0950000000000002</v>
      </c>
      <c r="H21">
        <v>2.1160000000000001</v>
      </c>
      <c r="I21">
        <v>2.1030000000000002</v>
      </c>
      <c r="J21">
        <v>2.0920000000000001</v>
      </c>
      <c r="K21">
        <v>2.105</v>
      </c>
      <c r="L21">
        <v>2.1019999999999999</v>
      </c>
      <c r="M21">
        <v>2.1179999999999999</v>
      </c>
      <c r="N21">
        <v>2.0880000000000001</v>
      </c>
      <c r="O21" t="s">
        <v>46</v>
      </c>
      <c r="P21" t="s">
        <v>47</v>
      </c>
    </row>
    <row r="22" spans="1:16" x14ac:dyDescent="0.25">
      <c r="A22" t="s">
        <v>51</v>
      </c>
      <c r="B22" s="28">
        <v>0.6477546296296296</v>
      </c>
      <c r="I22">
        <v>2.1219999999999999</v>
      </c>
      <c r="J22">
        <v>2.1040000000000001</v>
      </c>
      <c r="K22">
        <v>2.1240000000000001</v>
      </c>
      <c r="L22">
        <v>2.109</v>
      </c>
      <c r="M22">
        <v>2.1240000000000001</v>
      </c>
      <c r="N22">
        <v>2.1389999999999998</v>
      </c>
      <c r="O22" t="s">
        <v>46</v>
      </c>
      <c r="P22" t="s">
        <v>47</v>
      </c>
    </row>
    <row r="23" spans="1:16" x14ac:dyDescent="0.25">
      <c r="A23" t="s">
        <v>51</v>
      </c>
      <c r="B23" s="28">
        <v>0.64846064814814819</v>
      </c>
      <c r="C23">
        <v>2.101</v>
      </c>
      <c r="D23">
        <v>2.1110000000000002</v>
      </c>
      <c r="E23">
        <v>2.1059999999999999</v>
      </c>
      <c r="F23">
        <v>2.113</v>
      </c>
      <c r="G23">
        <v>2.1190000000000002</v>
      </c>
      <c r="H23">
        <v>2.0979999999999999</v>
      </c>
      <c r="I23">
        <v>2.12</v>
      </c>
      <c r="J23">
        <v>2.1139999999999999</v>
      </c>
      <c r="K23">
        <v>2.0859999999999999</v>
      </c>
      <c r="L23">
        <v>2.0910000000000002</v>
      </c>
      <c r="M23">
        <v>2.0880000000000001</v>
      </c>
      <c r="N23">
        <v>2.0990000000000002</v>
      </c>
      <c r="O23" t="s">
        <v>46</v>
      </c>
      <c r="P23" t="s">
        <v>47</v>
      </c>
    </row>
    <row r="24" spans="1:16" x14ac:dyDescent="0.25">
      <c r="A24" t="s">
        <v>51</v>
      </c>
      <c r="B24" s="28">
        <v>0.64988425925925919</v>
      </c>
      <c r="C24">
        <v>2.101</v>
      </c>
      <c r="D24">
        <v>2.11</v>
      </c>
      <c r="E24">
        <v>2.1070000000000002</v>
      </c>
      <c r="F24">
        <v>2.1</v>
      </c>
      <c r="G24">
        <v>2.1230000000000002</v>
      </c>
      <c r="H24">
        <v>2.1059999999999999</v>
      </c>
      <c r="I24">
        <v>2.117</v>
      </c>
      <c r="J24">
        <v>2.137</v>
      </c>
      <c r="K24">
        <v>2.1110000000000002</v>
      </c>
      <c r="L24">
        <v>2.1070000000000002</v>
      </c>
      <c r="M24">
        <v>2.1120000000000001</v>
      </c>
      <c r="N24">
        <v>2.0960000000000001</v>
      </c>
      <c r="O24" t="s">
        <v>46</v>
      </c>
      <c r="P24" t="s">
        <v>47</v>
      </c>
    </row>
    <row r="25" spans="1:16" x14ac:dyDescent="0.25">
      <c r="A25" t="s">
        <v>51</v>
      </c>
      <c r="B25" s="28">
        <v>0.65129629629629626</v>
      </c>
      <c r="C25">
        <v>2.1339999999999999</v>
      </c>
      <c r="D25">
        <v>2.1219999999999999</v>
      </c>
      <c r="E25">
        <v>2.1080000000000001</v>
      </c>
      <c r="F25">
        <v>2.1080000000000001</v>
      </c>
      <c r="G25">
        <v>2.12</v>
      </c>
      <c r="H25">
        <v>2.13</v>
      </c>
      <c r="I25">
        <v>2.1150000000000002</v>
      </c>
      <c r="J25">
        <v>2.1190000000000002</v>
      </c>
      <c r="K25">
        <v>2.1</v>
      </c>
      <c r="L25">
        <v>2.1240000000000001</v>
      </c>
      <c r="M25">
        <v>2.1030000000000002</v>
      </c>
      <c r="N25">
        <v>2.1240000000000001</v>
      </c>
      <c r="O25" t="s">
        <v>46</v>
      </c>
      <c r="P25" t="s">
        <v>47</v>
      </c>
    </row>
    <row r="26" spans="1:16" x14ac:dyDescent="0.25">
      <c r="A26" t="s">
        <v>51</v>
      </c>
      <c r="B26" s="28">
        <v>0.65298611111111116</v>
      </c>
      <c r="C26">
        <v>2.1139999999999999</v>
      </c>
      <c r="D26">
        <v>2.1269999999999998</v>
      </c>
      <c r="E26">
        <v>2.117</v>
      </c>
      <c r="F26">
        <v>2.121</v>
      </c>
      <c r="G26">
        <v>2.1389999999999998</v>
      </c>
      <c r="H26">
        <v>2.1419999999999999</v>
      </c>
      <c r="I26">
        <v>2.1139999999999999</v>
      </c>
      <c r="J26">
        <v>2.1030000000000002</v>
      </c>
      <c r="K26">
        <v>2.1</v>
      </c>
      <c r="L26">
        <v>2.13</v>
      </c>
      <c r="M26">
        <v>2.1150000000000002</v>
      </c>
      <c r="N26">
        <v>2.1190000000000002</v>
      </c>
      <c r="O26" t="s">
        <v>46</v>
      </c>
      <c r="P26" t="s">
        <v>47</v>
      </c>
    </row>
    <row r="27" spans="1:16" x14ac:dyDescent="0.25">
      <c r="A27" t="s">
        <v>51</v>
      </c>
      <c r="B27" s="28">
        <v>0.65440972222222216</v>
      </c>
      <c r="C27">
        <v>2.097</v>
      </c>
      <c r="D27">
        <v>2.121</v>
      </c>
      <c r="E27">
        <v>2.125</v>
      </c>
      <c r="F27">
        <v>2.129</v>
      </c>
      <c r="G27">
        <v>2.113</v>
      </c>
      <c r="H27">
        <v>2.117</v>
      </c>
      <c r="I27">
        <v>2.1309999999999998</v>
      </c>
      <c r="J27">
        <v>2.1379999999999999</v>
      </c>
      <c r="K27">
        <v>2.1339999999999999</v>
      </c>
      <c r="L27">
        <v>2.1379999999999999</v>
      </c>
      <c r="M27">
        <v>2.121</v>
      </c>
      <c r="N27">
        <v>2.1030000000000002</v>
      </c>
      <c r="O27" t="s">
        <v>46</v>
      </c>
      <c r="P27" t="s">
        <v>47</v>
      </c>
    </row>
    <row r="28" spans="1:16" x14ac:dyDescent="0.25">
      <c r="A28" t="s">
        <v>51</v>
      </c>
      <c r="B28" s="28">
        <v>0.65582175925925923</v>
      </c>
      <c r="C28">
        <v>2.0960000000000001</v>
      </c>
      <c r="D28">
        <v>2.1230000000000002</v>
      </c>
      <c r="E28">
        <v>2.1110000000000002</v>
      </c>
      <c r="F28">
        <v>2.13</v>
      </c>
      <c r="G28">
        <v>2.1150000000000002</v>
      </c>
      <c r="H28">
        <v>2.0830000000000002</v>
      </c>
      <c r="I28">
        <v>2.129</v>
      </c>
      <c r="J28">
        <v>2.1379999999999999</v>
      </c>
      <c r="K28">
        <v>2.1379999999999999</v>
      </c>
      <c r="L28">
        <v>2.1240000000000001</v>
      </c>
      <c r="M28">
        <v>2.1190000000000002</v>
      </c>
      <c r="N28">
        <v>2.12</v>
      </c>
      <c r="O28" t="s">
        <v>46</v>
      </c>
      <c r="P28" t="s">
        <v>47</v>
      </c>
    </row>
    <row r="29" spans="1:16" x14ac:dyDescent="0.25">
      <c r="A29" t="s">
        <v>51</v>
      </c>
      <c r="B29" s="28">
        <v>0.6572337962962963</v>
      </c>
      <c r="C29">
        <v>2.13</v>
      </c>
      <c r="D29">
        <v>2.117</v>
      </c>
      <c r="E29">
        <v>2.1280000000000001</v>
      </c>
      <c r="F29">
        <v>2.1179999999999999</v>
      </c>
      <c r="G29">
        <v>2.1360000000000001</v>
      </c>
      <c r="H29">
        <v>2.0840000000000001</v>
      </c>
      <c r="I29">
        <v>2.1179999999999999</v>
      </c>
      <c r="J29">
        <v>2.1110000000000002</v>
      </c>
      <c r="K29">
        <v>2.1110000000000002</v>
      </c>
      <c r="L29">
        <v>2.113</v>
      </c>
      <c r="M29">
        <v>2.117</v>
      </c>
      <c r="N29">
        <v>2.1309999999999998</v>
      </c>
      <c r="O29" t="s">
        <v>46</v>
      </c>
      <c r="P29" t="s">
        <v>47</v>
      </c>
    </row>
    <row r="30" spans="1:16" x14ac:dyDescent="0.25">
      <c r="A30" t="s">
        <v>51</v>
      </c>
      <c r="B30" s="28">
        <v>0.65865740740740741</v>
      </c>
      <c r="C30">
        <v>2.137</v>
      </c>
      <c r="D30">
        <v>2.1190000000000002</v>
      </c>
      <c r="E30">
        <v>2.1269999999999998</v>
      </c>
      <c r="F30">
        <v>2.149</v>
      </c>
      <c r="G30">
        <v>2.14</v>
      </c>
      <c r="H30">
        <v>2.1349999999999998</v>
      </c>
      <c r="I30">
        <v>2.1440000000000001</v>
      </c>
      <c r="J30">
        <v>2.12</v>
      </c>
      <c r="K30">
        <v>2.1190000000000002</v>
      </c>
      <c r="L30">
        <v>2.1179999999999999</v>
      </c>
      <c r="M30">
        <v>2.13</v>
      </c>
      <c r="N30">
        <v>2.1139999999999999</v>
      </c>
      <c r="O30" t="s">
        <v>46</v>
      </c>
      <c r="P30" t="s">
        <v>47</v>
      </c>
    </row>
    <row r="31" spans="1:16" x14ac:dyDescent="0.25">
      <c r="A31" t="s">
        <v>51</v>
      </c>
      <c r="B31" s="28">
        <v>0.66006944444444449</v>
      </c>
      <c r="C31">
        <v>2.1</v>
      </c>
      <c r="D31">
        <v>2.1019999999999999</v>
      </c>
      <c r="E31">
        <v>2.1120000000000001</v>
      </c>
      <c r="F31">
        <v>2.125</v>
      </c>
      <c r="G31">
        <v>2.1019999999999999</v>
      </c>
      <c r="H31">
        <v>2.0910000000000002</v>
      </c>
      <c r="I31">
        <v>2.113</v>
      </c>
      <c r="J31">
        <v>2.0979999999999999</v>
      </c>
      <c r="K31">
        <v>2.11</v>
      </c>
      <c r="L31">
        <v>2.1219999999999999</v>
      </c>
      <c r="M31">
        <v>2.1080000000000001</v>
      </c>
      <c r="N31">
        <v>2.0950000000000002</v>
      </c>
      <c r="O31" t="s">
        <v>46</v>
      </c>
      <c r="P31" t="s">
        <v>47</v>
      </c>
    </row>
    <row r="32" spans="1:16" x14ac:dyDescent="0.25">
      <c r="A32" t="s">
        <v>51</v>
      </c>
      <c r="B32" s="28">
        <v>0.66149305555555549</v>
      </c>
      <c r="C32">
        <v>2.0950000000000002</v>
      </c>
      <c r="D32">
        <v>2.1110000000000002</v>
      </c>
      <c r="E32">
        <v>2.1059999999999999</v>
      </c>
      <c r="F32">
        <v>2.1230000000000002</v>
      </c>
      <c r="G32">
        <v>2.0990000000000002</v>
      </c>
      <c r="H32">
        <v>2.1059999999999999</v>
      </c>
      <c r="I32">
        <v>2.0990000000000002</v>
      </c>
      <c r="J32">
        <v>2.109</v>
      </c>
      <c r="K32">
        <v>2.1080000000000001</v>
      </c>
      <c r="L32">
        <v>2.0950000000000002</v>
      </c>
      <c r="M32">
        <v>2.0979999999999999</v>
      </c>
      <c r="N32">
        <v>2.1059999999999999</v>
      </c>
      <c r="O32" t="s">
        <v>46</v>
      </c>
      <c r="P32" t="s">
        <v>47</v>
      </c>
    </row>
    <row r="33" spans="1:16" x14ac:dyDescent="0.25">
      <c r="A33" t="s">
        <v>51</v>
      </c>
      <c r="B33" s="28">
        <v>0.66290509259259256</v>
      </c>
      <c r="C33">
        <v>2.109</v>
      </c>
      <c r="D33">
        <v>2.133</v>
      </c>
      <c r="E33">
        <v>2.141</v>
      </c>
      <c r="F33">
        <v>2.125</v>
      </c>
      <c r="G33">
        <v>2.0960000000000001</v>
      </c>
      <c r="H33">
        <v>2.1139999999999999</v>
      </c>
      <c r="I33">
        <v>2.137</v>
      </c>
      <c r="J33">
        <v>2.1230000000000002</v>
      </c>
      <c r="K33">
        <v>2.125</v>
      </c>
      <c r="L33">
        <v>2.097</v>
      </c>
      <c r="M33">
        <v>2.125</v>
      </c>
      <c r="N33">
        <v>2.1230000000000002</v>
      </c>
      <c r="O33" t="s">
        <v>46</v>
      </c>
      <c r="P33" t="s">
        <v>47</v>
      </c>
    </row>
    <row r="34" spans="1:16" x14ac:dyDescent="0.25">
      <c r="A34" t="s">
        <v>51</v>
      </c>
      <c r="B34" s="28">
        <v>0.66431712962962963</v>
      </c>
      <c r="C34">
        <v>2.121</v>
      </c>
      <c r="D34">
        <v>2.125</v>
      </c>
      <c r="E34">
        <v>2.14</v>
      </c>
      <c r="F34">
        <v>2.1240000000000001</v>
      </c>
      <c r="G34">
        <v>2.113</v>
      </c>
      <c r="H34">
        <v>2.101</v>
      </c>
      <c r="I34">
        <v>2.1230000000000002</v>
      </c>
      <c r="J34">
        <v>2.1070000000000002</v>
      </c>
      <c r="K34">
        <v>2.1429999999999998</v>
      </c>
      <c r="L34">
        <v>2.0880000000000001</v>
      </c>
      <c r="M34">
        <v>2.1280000000000001</v>
      </c>
      <c r="N34">
        <v>2.1150000000000002</v>
      </c>
      <c r="O34" t="s">
        <v>46</v>
      </c>
      <c r="P34" t="s">
        <v>47</v>
      </c>
    </row>
    <row r="35" spans="1:16" x14ac:dyDescent="0.25">
      <c r="A35" t="s">
        <v>51</v>
      </c>
      <c r="B35" s="28">
        <v>0.66574074074074074</v>
      </c>
      <c r="C35">
        <v>2.1190000000000002</v>
      </c>
      <c r="D35">
        <v>2.1280000000000001</v>
      </c>
      <c r="E35">
        <v>2.1070000000000002</v>
      </c>
      <c r="F35">
        <v>2.133</v>
      </c>
      <c r="G35">
        <v>2.113</v>
      </c>
      <c r="H35">
        <v>2.0990000000000002</v>
      </c>
      <c r="I35">
        <v>2.1219999999999999</v>
      </c>
      <c r="J35">
        <v>2.1269999999999998</v>
      </c>
      <c r="K35">
        <v>2.1339999999999999</v>
      </c>
      <c r="L35">
        <v>2.1560000000000001</v>
      </c>
      <c r="M35">
        <v>2.121</v>
      </c>
      <c r="N35">
        <v>2.1150000000000002</v>
      </c>
      <c r="O35" t="s">
        <v>46</v>
      </c>
      <c r="P35" t="s">
        <v>47</v>
      </c>
    </row>
    <row r="36" spans="1:16" x14ac:dyDescent="0.25">
      <c r="A36" t="s">
        <v>51</v>
      </c>
      <c r="B36" s="28">
        <v>0.66759259259259263</v>
      </c>
      <c r="C36">
        <v>2.1120000000000001</v>
      </c>
      <c r="D36">
        <v>2.1160000000000001</v>
      </c>
      <c r="E36">
        <v>2.0990000000000002</v>
      </c>
      <c r="F36">
        <v>2.101</v>
      </c>
      <c r="G36">
        <v>2.1560000000000001</v>
      </c>
      <c r="H36">
        <v>2.149</v>
      </c>
      <c r="I36">
        <v>2.1110000000000002</v>
      </c>
      <c r="J36">
        <v>2.1240000000000001</v>
      </c>
      <c r="K36">
        <v>2.121</v>
      </c>
      <c r="L36">
        <v>2.1309999999999998</v>
      </c>
      <c r="M36">
        <v>2.12</v>
      </c>
      <c r="N36">
        <v>2.1190000000000002</v>
      </c>
      <c r="O36" t="s">
        <v>46</v>
      </c>
      <c r="P36" t="s">
        <v>47</v>
      </c>
    </row>
    <row r="37" spans="1:16" x14ac:dyDescent="0.25">
      <c r="A37" t="s">
        <v>51</v>
      </c>
      <c r="B37" s="28">
        <v>0.66900462962962959</v>
      </c>
      <c r="C37">
        <v>2.1320000000000001</v>
      </c>
      <c r="D37">
        <v>2.1219999999999999</v>
      </c>
      <c r="E37">
        <v>2.1309999999999998</v>
      </c>
      <c r="F37">
        <v>2.1160000000000001</v>
      </c>
      <c r="G37">
        <v>2.141</v>
      </c>
      <c r="H37">
        <v>2.1419999999999999</v>
      </c>
      <c r="I37">
        <v>2.1160000000000001</v>
      </c>
      <c r="J37">
        <v>2.113</v>
      </c>
      <c r="K37">
        <v>2.1280000000000001</v>
      </c>
      <c r="L37">
        <v>2.1160000000000001</v>
      </c>
      <c r="M37">
        <v>2.1040000000000001</v>
      </c>
      <c r="N37">
        <v>2.1280000000000001</v>
      </c>
      <c r="O37" t="s">
        <v>46</v>
      </c>
      <c r="P37" t="s">
        <v>47</v>
      </c>
    </row>
    <row r="38" spans="1:16" x14ac:dyDescent="0.25">
      <c r="A38" t="s">
        <v>51</v>
      </c>
      <c r="B38" s="28">
        <v>0.6705902777777778</v>
      </c>
      <c r="C38">
        <v>2.1320000000000001</v>
      </c>
      <c r="D38">
        <v>2.1150000000000002</v>
      </c>
      <c r="E38">
        <v>2.117</v>
      </c>
      <c r="F38">
        <v>2.109</v>
      </c>
      <c r="G38">
        <v>2.15</v>
      </c>
      <c r="H38">
        <v>2.1349999999999998</v>
      </c>
      <c r="I38">
        <v>2.1230000000000002</v>
      </c>
      <c r="J38">
        <v>2.1280000000000001</v>
      </c>
      <c r="K38">
        <v>2.1259999999999999</v>
      </c>
      <c r="L38">
        <v>2.1139999999999999</v>
      </c>
      <c r="M38">
        <v>2.12</v>
      </c>
      <c r="N38">
        <v>2.13</v>
      </c>
      <c r="O38" t="s">
        <v>46</v>
      </c>
      <c r="P38" t="s">
        <v>47</v>
      </c>
    </row>
    <row r="39" spans="1:16" x14ac:dyDescent="0.25">
      <c r="A39" t="s">
        <v>51</v>
      </c>
      <c r="B39" s="28">
        <v>0.67201388888888891</v>
      </c>
      <c r="C39">
        <v>2.1240000000000001</v>
      </c>
      <c r="D39">
        <v>2.12</v>
      </c>
      <c r="E39">
        <v>2.0990000000000002</v>
      </c>
      <c r="F39">
        <v>2.0960000000000001</v>
      </c>
      <c r="G39">
        <v>2.1070000000000002</v>
      </c>
      <c r="H39">
        <v>2.105</v>
      </c>
      <c r="I39">
        <v>2.1219999999999999</v>
      </c>
      <c r="J39">
        <v>2.121</v>
      </c>
      <c r="K39">
        <v>2.11</v>
      </c>
      <c r="L39">
        <v>2.0979999999999999</v>
      </c>
      <c r="M39">
        <v>2.1160000000000001</v>
      </c>
      <c r="N39">
        <v>2.089</v>
      </c>
      <c r="O39" t="s">
        <v>46</v>
      </c>
      <c r="P39" t="s">
        <v>47</v>
      </c>
    </row>
    <row r="40" spans="1:16" x14ac:dyDescent="0.25">
      <c r="A40" t="s">
        <v>51</v>
      </c>
      <c r="B40" s="28">
        <v>0.67342592592592598</v>
      </c>
      <c r="C40">
        <v>2.1389999999999998</v>
      </c>
      <c r="D40">
        <v>2.109</v>
      </c>
      <c r="E40">
        <v>2.1030000000000002</v>
      </c>
      <c r="F40">
        <v>2.1320000000000001</v>
      </c>
      <c r="G40">
        <v>2.1019999999999999</v>
      </c>
      <c r="H40">
        <v>2.1219999999999999</v>
      </c>
      <c r="I40">
        <v>2.1190000000000002</v>
      </c>
      <c r="J40">
        <v>2.1080000000000001</v>
      </c>
      <c r="K40">
        <v>2.1019999999999999</v>
      </c>
      <c r="L40">
        <v>2.105</v>
      </c>
      <c r="M40">
        <v>2.1160000000000001</v>
      </c>
      <c r="N40">
        <v>2.1019999999999999</v>
      </c>
      <c r="O40" t="s">
        <v>46</v>
      </c>
      <c r="P40" t="s">
        <v>47</v>
      </c>
    </row>
    <row r="41" spans="1:16" x14ac:dyDescent="0.25">
      <c r="A41" t="s">
        <v>51</v>
      </c>
      <c r="B41" s="28">
        <v>0.67484953703703709</v>
      </c>
      <c r="C41">
        <v>2.12</v>
      </c>
      <c r="D41">
        <v>2.125</v>
      </c>
      <c r="E41">
        <v>2.133</v>
      </c>
      <c r="F41">
        <v>2.1110000000000002</v>
      </c>
      <c r="G41">
        <v>2.1160000000000001</v>
      </c>
      <c r="H41">
        <v>2.1589999999999998</v>
      </c>
      <c r="I41">
        <v>2.1219999999999999</v>
      </c>
      <c r="J41">
        <v>2.1139999999999999</v>
      </c>
      <c r="K41">
        <v>2.1230000000000002</v>
      </c>
      <c r="L41">
        <v>2.1349999999999998</v>
      </c>
      <c r="M41">
        <v>2.133</v>
      </c>
      <c r="N41">
        <v>2.13</v>
      </c>
      <c r="O41" t="s">
        <v>46</v>
      </c>
      <c r="P41" t="s">
        <v>47</v>
      </c>
    </row>
    <row r="42" spans="1:16" x14ac:dyDescent="0.25">
      <c r="A42" t="s">
        <v>51</v>
      </c>
      <c r="B42" s="28">
        <v>0.67645833333333327</v>
      </c>
      <c r="C42">
        <v>2.121</v>
      </c>
      <c r="D42">
        <v>2.1389999999999998</v>
      </c>
      <c r="E42">
        <v>2.1240000000000001</v>
      </c>
      <c r="F42">
        <v>2.1240000000000001</v>
      </c>
      <c r="G42">
        <v>2.129</v>
      </c>
      <c r="H42">
        <v>2.129</v>
      </c>
      <c r="I42">
        <v>2.1139999999999999</v>
      </c>
      <c r="J42">
        <v>2.12</v>
      </c>
      <c r="K42">
        <v>2.1190000000000002</v>
      </c>
      <c r="L42">
        <v>2.141</v>
      </c>
      <c r="M42">
        <v>2.1190000000000002</v>
      </c>
      <c r="N42">
        <v>2.113</v>
      </c>
      <c r="O42" t="s">
        <v>46</v>
      </c>
      <c r="P42" t="s">
        <v>47</v>
      </c>
    </row>
    <row r="43" spans="1:16" x14ac:dyDescent="0.25">
      <c r="A43" t="s">
        <v>51</v>
      </c>
      <c r="B43" s="28">
        <v>0.6778819444444445</v>
      </c>
      <c r="C43">
        <v>2.113</v>
      </c>
      <c r="D43">
        <v>2.0990000000000002</v>
      </c>
      <c r="E43">
        <v>2.1080000000000001</v>
      </c>
      <c r="F43">
        <v>2.121</v>
      </c>
      <c r="G43">
        <v>2.1110000000000002</v>
      </c>
      <c r="H43">
        <v>2.093</v>
      </c>
      <c r="I43">
        <v>2.1150000000000002</v>
      </c>
      <c r="J43">
        <v>2.1360000000000001</v>
      </c>
      <c r="K43">
        <v>2.121</v>
      </c>
      <c r="L43">
        <v>2.11</v>
      </c>
      <c r="M43">
        <v>2.1190000000000002</v>
      </c>
      <c r="N43">
        <v>2.13</v>
      </c>
      <c r="O43" t="s">
        <v>46</v>
      </c>
      <c r="P43" t="s">
        <v>47</v>
      </c>
    </row>
    <row r="44" spans="1:16" x14ac:dyDescent="0.25">
      <c r="A44" t="s">
        <v>51</v>
      </c>
      <c r="B44" s="28">
        <v>0.67964120370370373</v>
      </c>
      <c r="C44">
        <v>2.125</v>
      </c>
      <c r="D44">
        <v>2.1059999999999999</v>
      </c>
      <c r="E44">
        <v>2.1219999999999999</v>
      </c>
      <c r="F44">
        <v>2.125</v>
      </c>
      <c r="G44">
        <v>2.1110000000000002</v>
      </c>
      <c r="H44">
        <v>2.1150000000000002</v>
      </c>
      <c r="I44">
        <v>2.121</v>
      </c>
      <c r="J44">
        <v>2.1120000000000001</v>
      </c>
      <c r="K44">
        <v>2.109</v>
      </c>
      <c r="L44">
        <v>2.1080000000000001</v>
      </c>
      <c r="M44">
        <v>2.1139999999999999</v>
      </c>
      <c r="N44">
        <v>2.1240000000000001</v>
      </c>
      <c r="O44" t="s">
        <v>46</v>
      </c>
      <c r="P44" t="s">
        <v>47</v>
      </c>
    </row>
    <row r="45" spans="1:16" x14ac:dyDescent="0.25">
      <c r="A45" t="s">
        <v>51</v>
      </c>
      <c r="B45" s="28">
        <v>0.68106481481481485</v>
      </c>
      <c r="C45">
        <v>2.1</v>
      </c>
      <c r="D45">
        <v>2.121</v>
      </c>
      <c r="E45">
        <v>2.1070000000000002</v>
      </c>
      <c r="F45">
        <v>2.097</v>
      </c>
      <c r="G45">
        <v>2.1230000000000002</v>
      </c>
      <c r="H45">
        <v>2.1469999999999998</v>
      </c>
      <c r="I45">
        <v>2.1139999999999999</v>
      </c>
      <c r="J45">
        <v>2.1080000000000001</v>
      </c>
      <c r="K45">
        <v>2.117</v>
      </c>
      <c r="L45">
        <v>2.0880000000000001</v>
      </c>
      <c r="M45">
        <v>2.1059999999999999</v>
      </c>
      <c r="N45">
        <v>2.1240000000000001</v>
      </c>
      <c r="O45" t="s">
        <v>46</v>
      </c>
      <c r="P45" t="s">
        <v>47</v>
      </c>
    </row>
    <row r="46" spans="1:16" x14ac:dyDescent="0.25">
      <c r="A46" t="s">
        <v>51</v>
      </c>
      <c r="B46" s="28">
        <v>0.68304398148148149</v>
      </c>
      <c r="C46">
        <v>2.1349999999999998</v>
      </c>
      <c r="D46">
        <v>2.125</v>
      </c>
      <c r="E46">
        <v>2.125</v>
      </c>
      <c r="F46">
        <v>2.117</v>
      </c>
      <c r="G46">
        <v>2.13</v>
      </c>
      <c r="H46">
        <v>2.1419999999999999</v>
      </c>
      <c r="O46" t="s">
        <v>46</v>
      </c>
      <c r="P46" t="s">
        <v>47</v>
      </c>
    </row>
    <row r="47" spans="1:16" x14ac:dyDescent="0.25">
      <c r="A47" t="s">
        <v>51</v>
      </c>
      <c r="B47" s="28">
        <v>0.68743055555555566</v>
      </c>
      <c r="C47">
        <v>2.1110000000000002</v>
      </c>
      <c r="D47">
        <v>2.1179999999999999</v>
      </c>
      <c r="E47">
        <v>2.1240000000000001</v>
      </c>
      <c r="F47">
        <v>2.1190000000000002</v>
      </c>
      <c r="G47">
        <v>2.1139999999999999</v>
      </c>
      <c r="H47">
        <v>2.0920000000000001</v>
      </c>
      <c r="I47">
        <v>2.1019999999999999</v>
      </c>
      <c r="J47">
        <v>2.105</v>
      </c>
      <c r="K47">
        <v>2.1240000000000001</v>
      </c>
      <c r="L47">
        <v>2.1269999999999998</v>
      </c>
      <c r="M47">
        <v>2.121</v>
      </c>
      <c r="N47">
        <v>2.1269999999999998</v>
      </c>
      <c r="O47" t="s">
        <v>46</v>
      </c>
      <c r="P47" t="s">
        <v>47</v>
      </c>
    </row>
    <row r="48" spans="1:16" x14ac:dyDescent="0.25">
      <c r="A48" t="s">
        <v>51</v>
      </c>
      <c r="B48" s="28">
        <v>0.68884259259259262</v>
      </c>
      <c r="C48">
        <v>2.1120000000000001</v>
      </c>
      <c r="D48">
        <v>2.1269999999999998</v>
      </c>
      <c r="E48">
        <v>2.121</v>
      </c>
      <c r="F48">
        <v>2.101</v>
      </c>
      <c r="G48">
        <v>2.1059999999999999</v>
      </c>
      <c r="H48">
        <v>2.0840000000000001</v>
      </c>
      <c r="I48">
        <v>2.129</v>
      </c>
      <c r="J48">
        <v>2.1389999999999998</v>
      </c>
      <c r="K48">
        <v>2.117</v>
      </c>
      <c r="L48">
        <v>2.1309999999999998</v>
      </c>
      <c r="M48">
        <v>2.117</v>
      </c>
      <c r="N48">
        <v>2.1070000000000002</v>
      </c>
      <c r="O48" t="s">
        <v>46</v>
      </c>
      <c r="P48" t="s">
        <v>47</v>
      </c>
    </row>
    <row r="49" spans="1:16" x14ac:dyDescent="0.25">
      <c r="A49" t="s">
        <v>51</v>
      </c>
      <c r="B49" s="28">
        <v>0.69125000000000003</v>
      </c>
      <c r="C49">
        <v>2.1309999999999998</v>
      </c>
      <c r="D49">
        <v>2.1080000000000001</v>
      </c>
      <c r="E49">
        <v>2.1320000000000001</v>
      </c>
      <c r="F49">
        <v>2.0990000000000002</v>
      </c>
      <c r="G49">
        <v>2.1219999999999999</v>
      </c>
      <c r="H49">
        <v>2.1019999999999999</v>
      </c>
      <c r="I49">
        <v>2.1269999999999998</v>
      </c>
      <c r="J49">
        <v>2.137</v>
      </c>
      <c r="K49">
        <v>2.1360000000000001</v>
      </c>
      <c r="L49">
        <v>2.1110000000000002</v>
      </c>
      <c r="M49">
        <v>2.1360000000000001</v>
      </c>
      <c r="N49">
        <v>2.1360000000000001</v>
      </c>
      <c r="O49" t="s">
        <v>46</v>
      </c>
      <c r="P49" t="s">
        <v>47</v>
      </c>
    </row>
    <row r="50" spans="1:16" x14ac:dyDescent="0.25">
      <c r="A50" t="s">
        <v>51</v>
      </c>
      <c r="B50" s="28">
        <v>0.6934027777777777</v>
      </c>
      <c r="C50">
        <v>2.1219999999999999</v>
      </c>
      <c r="D50">
        <v>2.1150000000000002</v>
      </c>
      <c r="E50">
        <v>2.1139999999999999</v>
      </c>
      <c r="F50">
        <v>2.1080000000000001</v>
      </c>
      <c r="G50">
        <v>2.133</v>
      </c>
      <c r="H50">
        <v>2.1429999999999998</v>
      </c>
      <c r="I50">
        <v>2.125</v>
      </c>
      <c r="J50">
        <v>2.121</v>
      </c>
      <c r="K50">
        <v>2.101</v>
      </c>
      <c r="L50">
        <v>2.0950000000000002</v>
      </c>
      <c r="M50">
        <v>2.1110000000000002</v>
      </c>
      <c r="N50">
        <v>2.077</v>
      </c>
      <c r="O50" t="s">
        <v>46</v>
      </c>
      <c r="P50" t="s">
        <v>47</v>
      </c>
    </row>
    <row r="51" spans="1:16" x14ac:dyDescent="0.25">
      <c r="A51" t="s">
        <v>51</v>
      </c>
      <c r="B51" s="28">
        <v>0.69542824074074072</v>
      </c>
      <c r="C51">
        <v>2.0880000000000001</v>
      </c>
      <c r="D51">
        <v>2.1230000000000002</v>
      </c>
      <c r="E51">
        <v>2.129</v>
      </c>
      <c r="F51">
        <v>2.133</v>
      </c>
      <c r="G51">
        <v>2.109</v>
      </c>
      <c r="H51">
        <v>2.1240000000000001</v>
      </c>
      <c r="I51">
        <v>2.129</v>
      </c>
      <c r="J51">
        <v>2.1339999999999999</v>
      </c>
      <c r="K51">
        <v>2.1040000000000001</v>
      </c>
      <c r="L51">
        <v>2.1240000000000001</v>
      </c>
      <c r="M51">
        <v>2.1190000000000002</v>
      </c>
      <c r="N51">
        <v>2.1059999999999999</v>
      </c>
      <c r="O51" t="s">
        <v>46</v>
      </c>
      <c r="P51" t="s">
        <v>47</v>
      </c>
    </row>
    <row r="52" spans="1:16" x14ac:dyDescent="0.25">
      <c r="A52" t="s">
        <v>51</v>
      </c>
      <c r="B52" s="28">
        <v>0.69684027777777768</v>
      </c>
      <c r="C52">
        <v>2.1070000000000002</v>
      </c>
      <c r="D52">
        <v>2.117</v>
      </c>
      <c r="E52">
        <v>2.1070000000000002</v>
      </c>
      <c r="F52">
        <v>2.1419999999999999</v>
      </c>
      <c r="G52">
        <v>2.125</v>
      </c>
      <c r="H52">
        <v>2.1309999999999998</v>
      </c>
      <c r="I52">
        <v>2.0939999999999999</v>
      </c>
      <c r="J52">
        <v>2.105</v>
      </c>
      <c r="K52">
        <v>2.109</v>
      </c>
      <c r="L52">
        <v>2.0569999999999999</v>
      </c>
      <c r="M52">
        <v>2.121</v>
      </c>
      <c r="N52">
        <v>2.1120000000000001</v>
      </c>
      <c r="O52" t="s">
        <v>46</v>
      </c>
      <c r="P52" t="s">
        <v>47</v>
      </c>
    </row>
    <row r="53" spans="1:16" x14ac:dyDescent="0.25">
      <c r="A53" t="s">
        <v>51</v>
      </c>
      <c r="B53" s="28">
        <v>0.69842592592592589</v>
      </c>
      <c r="C53">
        <v>2.1070000000000002</v>
      </c>
      <c r="D53">
        <v>2.11</v>
      </c>
      <c r="E53">
        <v>2.1320000000000001</v>
      </c>
      <c r="F53">
        <v>2.1110000000000002</v>
      </c>
      <c r="G53">
        <v>2.1280000000000001</v>
      </c>
      <c r="H53">
        <v>2.125</v>
      </c>
      <c r="I53">
        <v>2.129</v>
      </c>
      <c r="J53">
        <v>2.129</v>
      </c>
      <c r="K53">
        <v>2.149</v>
      </c>
      <c r="L53">
        <v>2.109</v>
      </c>
      <c r="M53">
        <v>2.1440000000000001</v>
      </c>
      <c r="N53">
        <v>2.1379999999999999</v>
      </c>
      <c r="O53" t="s">
        <v>46</v>
      </c>
      <c r="P53" t="s">
        <v>47</v>
      </c>
    </row>
    <row r="54" spans="1:16" x14ac:dyDescent="0.25">
      <c r="A54" t="s">
        <v>51</v>
      </c>
      <c r="B54" s="28">
        <v>0.70164351851851858</v>
      </c>
      <c r="I54">
        <v>2.109</v>
      </c>
      <c r="J54">
        <v>2.11</v>
      </c>
      <c r="K54">
        <v>2.165</v>
      </c>
      <c r="L54">
        <v>2.1179999999999999</v>
      </c>
      <c r="M54">
        <v>2.1190000000000002</v>
      </c>
      <c r="N54">
        <v>2.1240000000000001</v>
      </c>
      <c r="O54" t="s">
        <v>46</v>
      </c>
      <c r="P54" t="s">
        <v>47</v>
      </c>
    </row>
    <row r="55" spans="1:16" x14ac:dyDescent="0.25">
      <c r="A55" t="s">
        <v>51</v>
      </c>
      <c r="B55" s="28">
        <v>0.70234953703703706</v>
      </c>
      <c r="C55">
        <v>2.1110000000000002</v>
      </c>
      <c r="D55">
        <v>2.1110000000000002</v>
      </c>
      <c r="E55">
        <v>2.1230000000000002</v>
      </c>
      <c r="F55">
        <v>2.117</v>
      </c>
      <c r="G55">
        <v>2.1190000000000002</v>
      </c>
      <c r="H55">
        <v>2.125</v>
      </c>
      <c r="I55">
        <v>2.109</v>
      </c>
      <c r="J55">
        <v>2.1059999999999999</v>
      </c>
      <c r="K55">
        <v>2.1480000000000001</v>
      </c>
      <c r="L55">
        <v>2.1080000000000001</v>
      </c>
      <c r="M55">
        <v>2.12</v>
      </c>
      <c r="N55">
        <v>2.1360000000000001</v>
      </c>
      <c r="O55" t="s">
        <v>46</v>
      </c>
      <c r="P55" t="s">
        <v>47</v>
      </c>
    </row>
    <row r="56" spans="1:16" x14ac:dyDescent="0.25">
      <c r="A56" t="s">
        <v>51</v>
      </c>
      <c r="B56" s="28">
        <v>0.70377314814814806</v>
      </c>
      <c r="C56">
        <v>2.14</v>
      </c>
      <c r="D56">
        <v>2.129</v>
      </c>
      <c r="E56">
        <v>2.1040000000000001</v>
      </c>
      <c r="F56">
        <v>2.1419999999999999</v>
      </c>
      <c r="G56">
        <v>2.1389999999999998</v>
      </c>
      <c r="H56">
        <v>2.12</v>
      </c>
      <c r="I56">
        <v>2.1059999999999999</v>
      </c>
      <c r="J56">
        <v>2.129</v>
      </c>
      <c r="K56">
        <v>2.1240000000000001</v>
      </c>
      <c r="L56">
        <v>2.117</v>
      </c>
      <c r="M56">
        <v>2.14</v>
      </c>
      <c r="N56">
        <v>2.1139999999999999</v>
      </c>
      <c r="O56" t="s">
        <v>46</v>
      </c>
      <c r="P56" t="s">
        <v>47</v>
      </c>
    </row>
    <row r="57" spans="1:16" x14ac:dyDescent="0.25">
      <c r="A57" t="s">
        <v>51</v>
      </c>
      <c r="B57" s="28">
        <v>0.70548611111111104</v>
      </c>
      <c r="C57">
        <v>2.11</v>
      </c>
      <c r="D57" s="29">
        <v>1.837</v>
      </c>
      <c r="E57">
        <v>2.0950000000000002</v>
      </c>
      <c r="F57">
        <v>2.0979999999999999</v>
      </c>
      <c r="G57">
        <v>2.1219999999999999</v>
      </c>
      <c r="H57">
        <v>2.13</v>
      </c>
      <c r="I57">
        <v>2.1</v>
      </c>
      <c r="J57">
        <v>2.1240000000000001</v>
      </c>
      <c r="K57">
        <v>2.09</v>
      </c>
      <c r="L57">
        <v>2.129</v>
      </c>
      <c r="M57">
        <v>2.1349999999999998</v>
      </c>
      <c r="N57">
        <v>2.11</v>
      </c>
      <c r="O57" t="s">
        <v>46</v>
      </c>
      <c r="P57" t="s">
        <v>47</v>
      </c>
    </row>
    <row r="58" spans="1:16" x14ac:dyDescent="0.25">
      <c r="A58" t="s">
        <v>51</v>
      </c>
      <c r="B58" s="28">
        <v>0.70690972222222215</v>
      </c>
      <c r="C58">
        <v>2.1309999999999998</v>
      </c>
      <c r="D58">
        <v>2.1160000000000001</v>
      </c>
      <c r="E58">
        <v>2.0960000000000001</v>
      </c>
      <c r="F58">
        <v>2.101</v>
      </c>
      <c r="G58">
        <v>2.0960000000000001</v>
      </c>
      <c r="H58">
        <v>2.1139999999999999</v>
      </c>
      <c r="I58">
        <v>2.1419999999999999</v>
      </c>
      <c r="J58">
        <v>2.1240000000000001</v>
      </c>
      <c r="K58">
        <v>2.1339999999999999</v>
      </c>
      <c r="L58">
        <v>2.133</v>
      </c>
      <c r="M58">
        <v>2.121</v>
      </c>
      <c r="N58">
        <v>2.1139999999999999</v>
      </c>
      <c r="O58" t="s">
        <v>46</v>
      </c>
      <c r="P58" t="s">
        <v>47</v>
      </c>
    </row>
    <row r="59" spans="1:16" x14ac:dyDescent="0.25">
      <c r="A59" t="s">
        <v>51</v>
      </c>
      <c r="B59" s="28">
        <v>0.71407407407407408</v>
      </c>
      <c r="I59">
        <v>2.1219999999999999</v>
      </c>
      <c r="J59">
        <v>2.1219999999999999</v>
      </c>
      <c r="K59">
        <v>2.0950000000000002</v>
      </c>
      <c r="L59">
        <v>2.1240000000000001</v>
      </c>
      <c r="M59">
        <v>2.101</v>
      </c>
      <c r="N59">
        <v>2.1179999999999999</v>
      </c>
      <c r="O59" t="s">
        <v>46</v>
      </c>
      <c r="P59" t="s">
        <v>47</v>
      </c>
    </row>
    <row r="60" spans="1:16" x14ac:dyDescent="0.25">
      <c r="A60" t="s">
        <v>51</v>
      </c>
      <c r="B60" s="28">
        <v>0.71523148148148152</v>
      </c>
      <c r="C60">
        <v>2.13</v>
      </c>
      <c r="D60">
        <v>2.1070000000000002</v>
      </c>
      <c r="E60">
        <v>2.133</v>
      </c>
      <c r="F60">
        <v>2.0880000000000001</v>
      </c>
      <c r="G60">
        <v>2.1080000000000001</v>
      </c>
      <c r="H60">
        <v>2.1120000000000001</v>
      </c>
      <c r="I60">
        <v>2.1480000000000001</v>
      </c>
      <c r="J60">
        <v>2.1259999999999999</v>
      </c>
      <c r="K60">
        <v>2.113</v>
      </c>
      <c r="L60">
        <v>2.1019999999999999</v>
      </c>
      <c r="M60">
        <v>2.11</v>
      </c>
      <c r="N60">
        <v>2.1139999999999999</v>
      </c>
      <c r="O60" t="s">
        <v>46</v>
      </c>
      <c r="P60" t="s">
        <v>47</v>
      </c>
    </row>
    <row r="61" spans="1:16" x14ac:dyDescent="0.25">
      <c r="A61" t="s">
        <v>51</v>
      </c>
      <c r="B61" s="28">
        <v>0.7166435185185186</v>
      </c>
      <c r="C61">
        <v>2.0859999999999999</v>
      </c>
      <c r="D61">
        <v>2.11</v>
      </c>
      <c r="E61">
        <v>2.1059999999999999</v>
      </c>
      <c r="F61">
        <v>2.1080000000000001</v>
      </c>
      <c r="G61">
        <v>2.1240000000000001</v>
      </c>
      <c r="H61">
        <v>2.1120000000000001</v>
      </c>
      <c r="I61">
        <v>2.1080000000000001</v>
      </c>
      <c r="J61">
        <v>2.117</v>
      </c>
      <c r="K61">
        <v>2.0960000000000001</v>
      </c>
      <c r="L61">
        <v>2.1030000000000002</v>
      </c>
      <c r="M61">
        <v>2.1030000000000002</v>
      </c>
      <c r="N61">
        <v>2.1150000000000002</v>
      </c>
      <c r="O61" t="s">
        <v>46</v>
      </c>
      <c r="P61" t="s">
        <v>47</v>
      </c>
    </row>
    <row r="62" spans="1:16" x14ac:dyDescent="0.25">
      <c r="A62" t="s">
        <v>51</v>
      </c>
      <c r="B62" s="28">
        <v>0.7180671296296296</v>
      </c>
      <c r="C62">
        <v>2.1179999999999999</v>
      </c>
      <c r="D62">
        <v>2.1309999999999998</v>
      </c>
      <c r="E62">
        <v>2.133</v>
      </c>
      <c r="F62">
        <v>2.1150000000000002</v>
      </c>
      <c r="G62">
        <v>2.1040000000000001</v>
      </c>
      <c r="H62">
        <v>2.1349999999999998</v>
      </c>
      <c r="I62">
        <v>2.12</v>
      </c>
      <c r="J62">
        <v>2.0939999999999999</v>
      </c>
      <c r="K62">
        <v>2.0979999999999999</v>
      </c>
      <c r="L62">
        <v>2.1269999999999998</v>
      </c>
      <c r="M62">
        <v>2.1259999999999999</v>
      </c>
      <c r="N62">
        <v>2.121</v>
      </c>
      <c r="O62" t="s">
        <v>46</v>
      </c>
      <c r="P62" t="s">
        <v>47</v>
      </c>
    </row>
    <row r="63" spans="1:16" x14ac:dyDescent="0.25">
      <c r="A63" t="s">
        <v>51</v>
      </c>
      <c r="B63" s="28">
        <v>0.71965277777777781</v>
      </c>
      <c r="C63">
        <v>2.1360000000000001</v>
      </c>
      <c r="D63">
        <v>2.1240000000000001</v>
      </c>
      <c r="E63">
        <v>2.1230000000000002</v>
      </c>
      <c r="F63">
        <v>2.1309999999999998</v>
      </c>
      <c r="G63">
        <v>2.1219999999999999</v>
      </c>
      <c r="H63">
        <v>2.1280000000000001</v>
      </c>
      <c r="O63" t="s">
        <v>46</v>
      </c>
      <c r="P63" t="s">
        <v>47</v>
      </c>
    </row>
    <row r="64" spans="1:16" x14ac:dyDescent="0.25">
      <c r="A64" t="s">
        <v>51</v>
      </c>
      <c r="B64" s="28">
        <v>0.72158564814814818</v>
      </c>
      <c r="C64">
        <v>2.11</v>
      </c>
      <c r="D64">
        <v>2.1349999999999998</v>
      </c>
      <c r="E64">
        <v>2.1240000000000001</v>
      </c>
      <c r="F64">
        <v>2.129</v>
      </c>
      <c r="G64">
        <v>2.133</v>
      </c>
      <c r="H64">
        <v>2.141</v>
      </c>
      <c r="I64">
        <v>2.145</v>
      </c>
      <c r="J64">
        <v>2.1019999999999999</v>
      </c>
      <c r="K64">
        <v>2.0859999999999999</v>
      </c>
      <c r="L64">
        <v>2.1259999999999999</v>
      </c>
      <c r="M64">
        <v>2.113</v>
      </c>
      <c r="N64">
        <v>2.1219999999999999</v>
      </c>
      <c r="O64" t="s">
        <v>46</v>
      </c>
      <c r="P64" t="s">
        <v>47</v>
      </c>
    </row>
    <row r="65" spans="1:16" x14ac:dyDescent="0.25">
      <c r="A65" t="s">
        <v>51</v>
      </c>
      <c r="B65" s="28">
        <v>0.72299768518518526</v>
      </c>
      <c r="C65">
        <v>2.1059999999999999</v>
      </c>
      <c r="D65">
        <v>2.109</v>
      </c>
      <c r="E65">
        <v>2.1070000000000002</v>
      </c>
      <c r="F65">
        <v>2.1379999999999999</v>
      </c>
      <c r="G65">
        <v>2.1349999999999998</v>
      </c>
      <c r="H65">
        <v>2.129</v>
      </c>
      <c r="I65">
        <v>2.1539999999999999</v>
      </c>
      <c r="J65">
        <v>2.1240000000000001</v>
      </c>
      <c r="K65">
        <v>2.109</v>
      </c>
      <c r="L65">
        <v>2.1019999999999999</v>
      </c>
      <c r="M65">
        <v>2.1349999999999998</v>
      </c>
      <c r="N65">
        <v>2.1230000000000002</v>
      </c>
      <c r="O65" t="s">
        <v>46</v>
      </c>
      <c r="P65" t="s">
        <v>47</v>
      </c>
    </row>
    <row r="66" spans="1:16" x14ac:dyDescent="0.25">
      <c r="A66" t="s">
        <v>51</v>
      </c>
      <c r="B66" s="28">
        <v>0.72461805555555558</v>
      </c>
      <c r="C66">
        <v>2.113</v>
      </c>
      <c r="D66">
        <v>2.0990000000000002</v>
      </c>
      <c r="E66">
        <v>2.09</v>
      </c>
      <c r="F66">
        <v>2.081</v>
      </c>
      <c r="G66">
        <v>2.0920000000000001</v>
      </c>
      <c r="H66">
        <v>2.0990000000000002</v>
      </c>
      <c r="I66">
        <v>2.1520000000000001</v>
      </c>
      <c r="J66">
        <v>2.109</v>
      </c>
      <c r="K66">
        <v>2.1259999999999999</v>
      </c>
      <c r="L66">
        <v>2.1269999999999998</v>
      </c>
      <c r="M66">
        <v>2.137</v>
      </c>
      <c r="N66">
        <v>2.129</v>
      </c>
      <c r="O66" t="s">
        <v>46</v>
      </c>
      <c r="P66" t="s">
        <v>47</v>
      </c>
    </row>
    <row r="67" spans="1:16" x14ac:dyDescent="0.25">
      <c r="A67" t="s">
        <v>51</v>
      </c>
      <c r="B67" s="28">
        <v>0.72603009259259255</v>
      </c>
      <c r="C67">
        <v>2.129</v>
      </c>
      <c r="D67">
        <v>2.1320000000000001</v>
      </c>
      <c r="E67">
        <v>2.1179999999999999</v>
      </c>
      <c r="F67">
        <v>2.0750000000000002</v>
      </c>
      <c r="G67">
        <v>2.093</v>
      </c>
      <c r="H67">
        <v>2.1120000000000001</v>
      </c>
      <c r="O67" t="s">
        <v>46</v>
      </c>
      <c r="P67" t="s">
        <v>47</v>
      </c>
    </row>
    <row r="68" spans="1:16" x14ac:dyDescent="0.25">
      <c r="A68" t="s">
        <v>51</v>
      </c>
      <c r="B68" s="28">
        <v>0.72745370370370377</v>
      </c>
      <c r="C68">
        <v>2.1320000000000001</v>
      </c>
      <c r="D68">
        <v>2.13</v>
      </c>
      <c r="E68">
        <v>2.129</v>
      </c>
      <c r="F68">
        <v>2.0870000000000002</v>
      </c>
      <c r="G68">
        <v>2.1019999999999999</v>
      </c>
      <c r="H68">
        <v>2.105</v>
      </c>
      <c r="I68">
        <v>2.121</v>
      </c>
      <c r="J68">
        <v>2.1190000000000002</v>
      </c>
      <c r="K68">
        <v>2.1429999999999998</v>
      </c>
      <c r="L68">
        <v>2.14</v>
      </c>
      <c r="M68">
        <v>2.1059999999999999</v>
      </c>
      <c r="N68">
        <v>2.0990000000000002</v>
      </c>
      <c r="O68" t="s">
        <v>46</v>
      </c>
      <c r="P68" t="s">
        <v>47</v>
      </c>
    </row>
    <row r="69" spans="1:16" x14ac:dyDescent="0.25">
      <c r="A69" t="s">
        <v>51</v>
      </c>
      <c r="B69" s="28">
        <v>0.72886574074074073</v>
      </c>
      <c r="C69">
        <v>2.1240000000000001</v>
      </c>
      <c r="D69">
        <v>2.125</v>
      </c>
      <c r="E69">
        <v>2.121</v>
      </c>
      <c r="F69">
        <v>2.1440000000000001</v>
      </c>
      <c r="G69">
        <v>2.0979999999999999</v>
      </c>
      <c r="H69">
        <v>2.125</v>
      </c>
      <c r="I69">
        <v>2.0990000000000002</v>
      </c>
      <c r="J69">
        <v>2.1259999999999999</v>
      </c>
      <c r="K69">
        <v>2.1259999999999999</v>
      </c>
      <c r="L69">
        <v>2.1219999999999999</v>
      </c>
      <c r="M69">
        <v>2.1190000000000002</v>
      </c>
      <c r="N69">
        <v>2.1150000000000002</v>
      </c>
      <c r="O69" t="s">
        <v>46</v>
      </c>
      <c r="P69" t="s">
        <v>47</v>
      </c>
    </row>
    <row r="70" spans="1:16" x14ac:dyDescent="0.25">
      <c r="A70" t="s">
        <v>51</v>
      </c>
      <c r="B70" s="28">
        <v>0.73028935185185195</v>
      </c>
      <c r="C70">
        <v>2.1040000000000001</v>
      </c>
      <c r="D70">
        <v>2.1179999999999999</v>
      </c>
      <c r="E70">
        <v>2.1219999999999999</v>
      </c>
      <c r="F70">
        <v>2.1419999999999999</v>
      </c>
      <c r="G70">
        <v>2.12</v>
      </c>
      <c r="H70">
        <v>2.1160000000000001</v>
      </c>
      <c r="I70">
        <v>2.113</v>
      </c>
      <c r="J70">
        <v>2.0990000000000002</v>
      </c>
      <c r="K70">
        <v>2.1040000000000001</v>
      </c>
      <c r="L70">
        <v>2.11</v>
      </c>
      <c r="M70">
        <v>2.1030000000000002</v>
      </c>
      <c r="N70">
        <v>2.1230000000000002</v>
      </c>
      <c r="O70" t="s">
        <v>46</v>
      </c>
      <c r="P70" t="s">
        <v>47</v>
      </c>
    </row>
    <row r="71" spans="1:16" x14ac:dyDescent="0.25">
      <c r="A71" t="s">
        <v>51</v>
      </c>
      <c r="B71" s="28">
        <v>0.73170138888888892</v>
      </c>
      <c r="C71">
        <v>2.0920000000000001</v>
      </c>
      <c r="D71">
        <v>2.097</v>
      </c>
      <c r="E71">
        <v>2.1059999999999999</v>
      </c>
      <c r="F71">
        <v>2.0699999999999998</v>
      </c>
      <c r="G71">
        <v>2.1110000000000002</v>
      </c>
      <c r="H71">
        <v>2.1139999999999999</v>
      </c>
      <c r="O71" t="s">
        <v>46</v>
      </c>
      <c r="P71" t="s">
        <v>47</v>
      </c>
    </row>
  </sheetData>
  <autoFilter ref="A1:P71" xr:uid="{5B923BED-2607-403E-B5C2-DE8285B35658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383C-C028-46A3-B7DC-8FE84FBB9E35}">
  <sheetPr>
    <pageSetUpPr fitToPage="1"/>
  </sheetPr>
  <dimension ref="A1:O91"/>
  <sheetViews>
    <sheetView view="pageLayout" topLeftCell="A64" zoomScale="70" zoomScaleNormal="100" zoomScalePageLayoutView="70" workbookViewId="0">
      <selection activeCell="N79" sqref="N79"/>
    </sheetView>
  </sheetViews>
  <sheetFormatPr defaultColWidth="9" defaultRowHeight="13.8" x14ac:dyDescent="0.25"/>
  <cols>
    <col min="1" max="1" width="18.33203125" style="12" customWidth="1"/>
    <col min="2" max="10" width="9.109375" style="1" customWidth="1"/>
    <col min="11" max="11" width="9.88671875" style="1" customWidth="1"/>
    <col min="12" max="12" width="9" style="1" customWidth="1"/>
    <col min="13" max="13" width="10.33203125" style="1" customWidth="1"/>
    <col min="14" max="16384" width="9" style="1"/>
  </cols>
  <sheetData>
    <row r="1" spans="1:15" ht="23.25" customHeight="1" x14ac:dyDescent="0.25">
      <c r="A1" s="31" t="s">
        <v>40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5" ht="69.75" customHeight="1" x14ac:dyDescent="0.25">
      <c r="A2" s="2" t="s">
        <v>3</v>
      </c>
      <c r="B2" s="3" t="s">
        <v>17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</row>
    <row r="3" spans="1:15" x14ac:dyDescent="0.25">
      <c r="A3" s="4">
        <v>1</v>
      </c>
      <c r="B3"/>
      <c r="C3"/>
      <c r="D3"/>
      <c r="E3"/>
      <c r="F3"/>
      <c r="G3"/>
      <c r="H3" s="29"/>
      <c r="I3" s="29"/>
      <c r="J3" s="29"/>
      <c r="K3" s="29"/>
      <c r="L3" s="29"/>
      <c r="M3" s="29"/>
    </row>
    <row r="4" spans="1:15" x14ac:dyDescent="0.25">
      <c r="A4" s="4">
        <v>2</v>
      </c>
      <c r="B4" s="29"/>
      <c r="C4" s="29"/>
      <c r="D4" s="29"/>
      <c r="E4" s="29"/>
      <c r="F4" s="29"/>
      <c r="G4" s="29"/>
      <c r="H4">
        <v>2.1349999999999998</v>
      </c>
      <c r="I4">
        <v>2.1459999999999999</v>
      </c>
      <c r="J4">
        <v>2.1429999999999998</v>
      </c>
      <c r="K4">
        <v>2.153</v>
      </c>
      <c r="L4">
        <v>2.137</v>
      </c>
      <c r="M4">
        <v>2.1349999999999998</v>
      </c>
      <c r="N4" s="14"/>
      <c r="O4" s="13"/>
    </row>
    <row r="5" spans="1:15" x14ac:dyDescent="0.25">
      <c r="A5" s="4">
        <v>3</v>
      </c>
      <c r="B5">
        <v>2.1579999999999999</v>
      </c>
      <c r="C5">
        <v>2.1339999999999999</v>
      </c>
      <c r="D5">
        <v>2.145</v>
      </c>
      <c r="E5">
        <v>2.1589999999999998</v>
      </c>
      <c r="F5">
        <v>2.1419999999999999</v>
      </c>
      <c r="G5">
        <v>2.1459999999999999</v>
      </c>
      <c r="H5">
        <v>2.1459999999999999</v>
      </c>
      <c r="I5">
        <v>2.1720000000000002</v>
      </c>
      <c r="J5">
        <v>2.145</v>
      </c>
      <c r="K5">
        <v>2.1629999999999998</v>
      </c>
      <c r="L5">
        <v>2.1469999999999998</v>
      </c>
      <c r="M5">
        <v>2.1190000000000002</v>
      </c>
      <c r="N5" s="14"/>
      <c r="O5" s="13"/>
    </row>
    <row r="6" spans="1:15" x14ac:dyDescent="0.25">
      <c r="A6" s="4">
        <v>4</v>
      </c>
      <c r="B6">
        <v>2.1539999999999999</v>
      </c>
      <c r="C6">
        <v>2.1160000000000001</v>
      </c>
      <c r="D6">
        <v>2.1339999999999999</v>
      </c>
      <c r="E6">
        <v>2.1019999999999999</v>
      </c>
      <c r="F6">
        <v>2.1509999999999998</v>
      </c>
      <c r="G6">
        <v>2.1560000000000001</v>
      </c>
      <c r="H6">
        <v>2.1339999999999999</v>
      </c>
      <c r="I6">
        <v>2.1080000000000001</v>
      </c>
      <c r="J6">
        <v>2.1589999999999998</v>
      </c>
      <c r="K6">
        <v>2.1019999999999999</v>
      </c>
      <c r="L6">
        <v>2.157</v>
      </c>
      <c r="M6">
        <v>2.0710000000000002</v>
      </c>
      <c r="N6" s="14"/>
      <c r="O6" s="13"/>
    </row>
    <row r="7" spans="1:15" x14ac:dyDescent="0.25">
      <c r="A7" s="4">
        <v>5</v>
      </c>
      <c r="B7">
        <v>2.161</v>
      </c>
      <c r="C7">
        <v>2.145</v>
      </c>
      <c r="D7">
        <v>2.1379999999999999</v>
      </c>
      <c r="E7">
        <v>2.121</v>
      </c>
      <c r="F7">
        <v>2.1360000000000001</v>
      </c>
      <c r="G7">
        <v>2.15</v>
      </c>
      <c r="H7">
        <v>2.129</v>
      </c>
      <c r="I7">
        <v>2.1040000000000001</v>
      </c>
      <c r="J7">
        <v>2.1379999999999999</v>
      </c>
      <c r="K7">
        <v>2.0920000000000001</v>
      </c>
      <c r="L7">
        <v>2.1389999999999998</v>
      </c>
      <c r="M7" s="29"/>
      <c r="N7" s="14"/>
      <c r="O7" s="13"/>
    </row>
    <row r="8" spans="1:15" x14ac:dyDescent="0.25">
      <c r="A8" s="4">
        <v>6</v>
      </c>
      <c r="B8">
        <v>2.1760000000000002</v>
      </c>
      <c r="C8">
        <v>2.1349999999999998</v>
      </c>
      <c r="D8">
        <v>2.1360000000000001</v>
      </c>
      <c r="E8">
        <v>2.1560000000000001</v>
      </c>
      <c r="F8">
        <v>2.1419999999999999</v>
      </c>
      <c r="G8">
        <v>2.1560000000000001</v>
      </c>
      <c r="H8">
        <v>2.1320000000000001</v>
      </c>
      <c r="I8">
        <v>2.101</v>
      </c>
      <c r="J8">
        <v>2.1419999999999999</v>
      </c>
      <c r="K8">
        <v>2.1120000000000001</v>
      </c>
      <c r="L8">
        <v>2.1509999999999998</v>
      </c>
      <c r="M8">
        <v>2.1160000000000001</v>
      </c>
      <c r="N8" s="14"/>
      <c r="O8" s="13"/>
    </row>
    <row r="9" spans="1:15" x14ac:dyDescent="0.25">
      <c r="A9" s="4">
        <v>7</v>
      </c>
      <c r="B9">
        <v>2.1240000000000001</v>
      </c>
      <c r="C9">
        <v>2.145</v>
      </c>
      <c r="D9">
        <v>2.1389999999999998</v>
      </c>
      <c r="E9">
        <v>2.157</v>
      </c>
      <c r="F9">
        <v>2.1320000000000001</v>
      </c>
      <c r="G9">
        <v>2.1629999999999998</v>
      </c>
      <c r="H9">
        <v>2.145</v>
      </c>
      <c r="I9">
        <v>2.0939999999999999</v>
      </c>
      <c r="J9">
        <v>2.1579999999999999</v>
      </c>
      <c r="K9">
        <v>2.1190000000000002</v>
      </c>
      <c r="L9">
        <v>2.129</v>
      </c>
      <c r="M9">
        <v>2.1059999999999999</v>
      </c>
      <c r="N9" s="14"/>
      <c r="O9" s="13"/>
    </row>
    <row r="10" spans="1:15" x14ac:dyDescent="0.25">
      <c r="A10" s="4">
        <v>8</v>
      </c>
      <c r="B10">
        <v>2.1</v>
      </c>
      <c r="C10">
        <v>2.1429999999999998</v>
      </c>
      <c r="D10">
        <v>2.1280000000000001</v>
      </c>
      <c r="E10">
        <v>2.133</v>
      </c>
      <c r="F10">
        <v>2.1120000000000001</v>
      </c>
      <c r="G10">
        <v>2.0699999999999998</v>
      </c>
      <c r="H10">
        <v>2.1429999999999998</v>
      </c>
      <c r="I10">
        <v>2.0870000000000002</v>
      </c>
      <c r="J10">
        <v>2.1520000000000001</v>
      </c>
      <c r="K10">
        <v>2.1120000000000001</v>
      </c>
      <c r="L10">
        <v>2.1469999999999998</v>
      </c>
      <c r="M10">
        <v>2.1219999999999999</v>
      </c>
      <c r="N10" s="14"/>
      <c r="O10" s="13"/>
    </row>
    <row r="11" spans="1:15" x14ac:dyDescent="0.25">
      <c r="A11" s="4">
        <v>9</v>
      </c>
      <c r="B11">
        <v>2.117</v>
      </c>
      <c r="C11">
        <v>2.1240000000000001</v>
      </c>
      <c r="D11">
        <v>2.13</v>
      </c>
      <c r="E11">
        <v>2.137</v>
      </c>
      <c r="F11">
        <v>2.1190000000000002</v>
      </c>
      <c r="G11">
        <v>2.1190000000000002</v>
      </c>
      <c r="H11">
        <v>2.1360000000000001</v>
      </c>
      <c r="I11">
        <v>2.093</v>
      </c>
      <c r="J11">
        <v>2.1379999999999999</v>
      </c>
      <c r="K11">
        <v>2.1</v>
      </c>
      <c r="L11">
        <v>2.1190000000000002</v>
      </c>
      <c r="M11">
        <v>2.1070000000000002</v>
      </c>
      <c r="N11" s="14"/>
      <c r="O11" s="13"/>
    </row>
    <row r="12" spans="1:15" x14ac:dyDescent="0.25">
      <c r="A12" s="4">
        <v>10</v>
      </c>
      <c r="B12">
        <v>2.1150000000000002</v>
      </c>
      <c r="C12">
        <v>2.1160000000000001</v>
      </c>
      <c r="D12">
        <v>2.11</v>
      </c>
      <c r="E12">
        <v>2.1429999999999998</v>
      </c>
      <c r="F12">
        <v>2.0910000000000002</v>
      </c>
      <c r="G12">
        <v>2.1019999999999999</v>
      </c>
      <c r="H12">
        <v>2.133</v>
      </c>
      <c r="I12">
        <v>2.1269999999999998</v>
      </c>
      <c r="J12">
        <v>2.1150000000000002</v>
      </c>
      <c r="K12">
        <v>2.113</v>
      </c>
      <c r="L12">
        <v>2.1339999999999999</v>
      </c>
      <c r="M12">
        <v>2.1309999999999998</v>
      </c>
      <c r="N12" s="14"/>
      <c r="O12" s="13"/>
    </row>
    <row r="13" spans="1:15" x14ac:dyDescent="0.25">
      <c r="A13" s="4">
        <v>11</v>
      </c>
      <c r="B13">
        <v>2.1160000000000001</v>
      </c>
      <c r="C13">
        <v>2.1360000000000001</v>
      </c>
      <c r="D13">
        <v>2.1160000000000001</v>
      </c>
      <c r="E13">
        <v>2.1190000000000002</v>
      </c>
      <c r="F13">
        <v>2.1080000000000001</v>
      </c>
      <c r="G13">
        <v>2.1190000000000002</v>
      </c>
      <c r="H13">
        <v>2.1230000000000002</v>
      </c>
      <c r="I13">
        <v>2.1320000000000001</v>
      </c>
      <c r="J13">
        <v>2.1080000000000001</v>
      </c>
      <c r="K13">
        <v>2.1150000000000002</v>
      </c>
      <c r="L13">
        <v>2.1269999999999998</v>
      </c>
      <c r="M13">
        <v>2.109</v>
      </c>
      <c r="N13" s="14"/>
      <c r="O13" s="13"/>
    </row>
    <row r="14" spans="1:15" x14ac:dyDescent="0.25">
      <c r="A14" s="4">
        <v>12</v>
      </c>
      <c r="B14">
        <v>2.1179999999999999</v>
      </c>
      <c r="C14">
        <v>2.1019999999999999</v>
      </c>
      <c r="D14">
        <v>2.12</v>
      </c>
      <c r="E14">
        <v>2.12</v>
      </c>
      <c r="F14">
        <v>2.109</v>
      </c>
      <c r="G14">
        <v>2.157</v>
      </c>
      <c r="H14"/>
      <c r="I14"/>
      <c r="J14"/>
      <c r="K14"/>
      <c r="L14"/>
      <c r="M14"/>
      <c r="N14" s="14"/>
      <c r="O14" s="13"/>
    </row>
    <row r="15" spans="1:15" x14ac:dyDescent="0.25">
      <c r="A15" s="4">
        <v>13</v>
      </c>
      <c r="B15"/>
      <c r="C15"/>
      <c r="D15"/>
      <c r="E15"/>
      <c r="F15"/>
      <c r="G15"/>
      <c r="H15">
        <v>2.1269999999999998</v>
      </c>
      <c r="I15">
        <v>2.1150000000000002</v>
      </c>
      <c r="J15">
        <v>2.1459999999999999</v>
      </c>
      <c r="K15">
        <v>2.1459999999999999</v>
      </c>
      <c r="L15">
        <v>2.1160000000000001</v>
      </c>
      <c r="M15">
        <v>2.1459999999999999</v>
      </c>
      <c r="N15" s="14"/>
      <c r="O15" s="13"/>
    </row>
    <row r="16" spans="1:15" x14ac:dyDescent="0.25">
      <c r="A16" s="4">
        <v>14</v>
      </c>
      <c r="B16">
        <v>2.1139999999999999</v>
      </c>
      <c r="C16">
        <v>2.113</v>
      </c>
      <c r="D16">
        <v>2.1030000000000002</v>
      </c>
      <c r="E16">
        <v>2.0920000000000001</v>
      </c>
      <c r="F16">
        <v>2.141</v>
      </c>
      <c r="G16">
        <v>2.117</v>
      </c>
      <c r="H16"/>
      <c r="I16"/>
      <c r="J16"/>
      <c r="K16"/>
      <c r="L16"/>
      <c r="M16"/>
      <c r="N16" s="14"/>
      <c r="O16" s="13"/>
    </row>
    <row r="17" spans="1:15" x14ac:dyDescent="0.25">
      <c r="A17" s="4">
        <v>15</v>
      </c>
      <c r="B17">
        <v>2.1080000000000001</v>
      </c>
      <c r="C17">
        <v>2.085</v>
      </c>
      <c r="D17">
        <v>2.0920000000000001</v>
      </c>
      <c r="E17">
        <v>2.0750000000000002</v>
      </c>
      <c r="F17">
        <v>2.093</v>
      </c>
      <c r="G17">
        <v>2.121</v>
      </c>
      <c r="H17">
        <v>2.1139999999999999</v>
      </c>
      <c r="I17">
        <v>2.0960000000000001</v>
      </c>
      <c r="J17">
        <v>2.1219999999999999</v>
      </c>
      <c r="K17">
        <v>2.1539999999999999</v>
      </c>
      <c r="L17">
        <v>2.1040000000000001</v>
      </c>
      <c r="M17">
        <v>2.1059999999999999</v>
      </c>
      <c r="N17" s="14"/>
      <c r="O17" s="13"/>
    </row>
    <row r="18" spans="1:15" x14ac:dyDescent="0.25">
      <c r="A18" s="4">
        <v>16</v>
      </c>
      <c r="B18">
        <v>2.1150000000000002</v>
      </c>
      <c r="C18">
        <v>2.117</v>
      </c>
      <c r="D18">
        <v>2.1190000000000002</v>
      </c>
      <c r="E18">
        <v>2.169</v>
      </c>
      <c r="F18">
        <v>2.1</v>
      </c>
      <c r="G18">
        <v>2.1349999999999998</v>
      </c>
      <c r="H18"/>
      <c r="I18"/>
      <c r="J18"/>
      <c r="K18"/>
      <c r="L18"/>
      <c r="M18"/>
      <c r="N18" s="14"/>
      <c r="O18" s="13"/>
    </row>
    <row r="19" spans="1:15" x14ac:dyDescent="0.25">
      <c r="A19" s="4">
        <v>17</v>
      </c>
      <c r="B19">
        <v>2.12</v>
      </c>
      <c r="C19">
        <v>2.1360000000000001</v>
      </c>
      <c r="D19">
        <v>2.1259999999999999</v>
      </c>
      <c r="E19">
        <v>2.1539999999999999</v>
      </c>
      <c r="F19">
        <v>2.125</v>
      </c>
      <c r="G19">
        <v>2.1139999999999999</v>
      </c>
      <c r="H19"/>
      <c r="I19"/>
      <c r="J19"/>
      <c r="K19"/>
      <c r="L19"/>
      <c r="M19"/>
      <c r="N19" s="14"/>
      <c r="O19" s="13"/>
    </row>
    <row r="20" spans="1:15" x14ac:dyDescent="0.25">
      <c r="A20" s="4">
        <v>18</v>
      </c>
      <c r="B20"/>
      <c r="C20"/>
      <c r="D20"/>
      <c r="E20"/>
      <c r="F20"/>
      <c r="G20"/>
      <c r="H20">
        <v>2.1059999999999999</v>
      </c>
      <c r="I20">
        <v>2.109</v>
      </c>
      <c r="J20">
        <v>2.1349999999999998</v>
      </c>
      <c r="K20">
        <v>2.1019999999999999</v>
      </c>
      <c r="L20">
        <v>2.1389999999999998</v>
      </c>
      <c r="M20">
        <v>2.1150000000000002</v>
      </c>
      <c r="N20" s="14"/>
      <c r="O20" s="13"/>
    </row>
    <row r="21" spans="1:15" x14ac:dyDescent="0.25">
      <c r="A21" s="4">
        <v>19</v>
      </c>
      <c r="B21">
        <v>2.121</v>
      </c>
      <c r="C21">
        <v>2.11</v>
      </c>
      <c r="D21">
        <v>2.1219999999999999</v>
      </c>
      <c r="E21">
        <v>2.1150000000000002</v>
      </c>
      <c r="F21">
        <v>2.101</v>
      </c>
      <c r="G21">
        <v>2.113</v>
      </c>
      <c r="H21">
        <v>2.1019999999999999</v>
      </c>
      <c r="I21">
        <v>2.0939999999999999</v>
      </c>
      <c r="J21">
        <v>2.153</v>
      </c>
      <c r="K21">
        <v>2.097</v>
      </c>
      <c r="L21">
        <v>2.1120000000000001</v>
      </c>
      <c r="M21">
        <v>2.133</v>
      </c>
      <c r="N21" s="14"/>
      <c r="O21" s="13"/>
    </row>
    <row r="22" spans="1:15" x14ac:dyDescent="0.25">
      <c r="A22" s="4">
        <v>20</v>
      </c>
      <c r="B22">
        <v>2.1259999999999999</v>
      </c>
      <c r="C22">
        <v>2.1139999999999999</v>
      </c>
      <c r="D22">
        <v>2.1150000000000002</v>
      </c>
      <c r="E22">
        <v>2.11</v>
      </c>
      <c r="F22">
        <v>2.0950000000000002</v>
      </c>
      <c r="G22">
        <v>2.1160000000000001</v>
      </c>
      <c r="H22">
        <v>2.1030000000000002</v>
      </c>
      <c r="I22">
        <v>2.0920000000000001</v>
      </c>
      <c r="J22">
        <v>2.105</v>
      </c>
      <c r="K22">
        <v>2.1019999999999999</v>
      </c>
      <c r="L22">
        <v>2.1179999999999999</v>
      </c>
      <c r="M22">
        <v>2.0880000000000001</v>
      </c>
      <c r="N22" s="14"/>
      <c r="O22" s="13"/>
    </row>
    <row r="23" spans="1:15" x14ac:dyDescent="0.25">
      <c r="A23" s="4">
        <v>21</v>
      </c>
      <c r="B23"/>
      <c r="C23"/>
      <c r="D23"/>
      <c r="E23"/>
      <c r="F23"/>
      <c r="G23"/>
      <c r="H23">
        <v>2.1219999999999999</v>
      </c>
      <c r="I23">
        <v>2.1040000000000001</v>
      </c>
      <c r="J23">
        <v>2.1240000000000001</v>
      </c>
      <c r="K23">
        <v>2.109</v>
      </c>
      <c r="L23">
        <v>2.1240000000000001</v>
      </c>
      <c r="M23">
        <v>2.1389999999999998</v>
      </c>
      <c r="N23" s="14"/>
      <c r="O23" s="13"/>
    </row>
    <row r="24" spans="1:15" x14ac:dyDescent="0.25">
      <c r="A24" s="4">
        <v>22</v>
      </c>
      <c r="B24">
        <v>2.101</v>
      </c>
      <c r="C24">
        <v>2.1110000000000002</v>
      </c>
      <c r="D24">
        <v>2.1059999999999999</v>
      </c>
      <c r="E24">
        <v>2.113</v>
      </c>
      <c r="F24">
        <v>2.1190000000000002</v>
      </c>
      <c r="G24">
        <v>2.0979999999999999</v>
      </c>
      <c r="H24">
        <v>2.12</v>
      </c>
      <c r="I24">
        <v>2.1139999999999999</v>
      </c>
      <c r="J24">
        <v>2.0859999999999999</v>
      </c>
      <c r="K24">
        <v>2.0910000000000002</v>
      </c>
      <c r="L24">
        <v>2.0880000000000001</v>
      </c>
      <c r="M24">
        <v>2.0990000000000002</v>
      </c>
      <c r="N24" s="14"/>
      <c r="O24" s="13"/>
    </row>
    <row r="25" spans="1:15" x14ac:dyDescent="0.25">
      <c r="A25" s="4">
        <v>23</v>
      </c>
      <c r="B25">
        <v>2.101</v>
      </c>
      <c r="C25">
        <v>2.11</v>
      </c>
      <c r="D25">
        <v>2.1070000000000002</v>
      </c>
      <c r="E25">
        <v>2.1</v>
      </c>
      <c r="F25">
        <v>2.1230000000000002</v>
      </c>
      <c r="G25">
        <v>2.1059999999999999</v>
      </c>
      <c r="H25">
        <v>2.117</v>
      </c>
      <c r="I25">
        <v>2.137</v>
      </c>
      <c r="J25">
        <v>2.1110000000000002</v>
      </c>
      <c r="K25">
        <v>2.1070000000000002</v>
      </c>
      <c r="L25">
        <v>2.1120000000000001</v>
      </c>
      <c r="M25">
        <v>2.0960000000000001</v>
      </c>
      <c r="N25" s="14"/>
      <c r="O25" s="13"/>
    </row>
    <row r="26" spans="1:15" x14ac:dyDescent="0.25">
      <c r="A26" s="4">
        <v>24</v>
      </c>
      <c r="B26">
        <v>2.1339999999999999</v>
      </c>
      <c r="C26">
        <v>2.1219999999999999</v>
      </c>
      <c r="D26">
        <v>2.1080000000000001</v>
      </c>
      <c r="E26">
        <v>2.1080000000000001</v>
      </c>
      <c r="F26">
        <v>2.12</v>
      </c>
      <c r="G26">
        <v>2.13</v>
      </c>
      <c r="H26">
        <v>2.1150000000000002</v>
      </c>
      <c r="I26">
        <v>2.1190000000000002</v>
      </c>
      <c r="J26">
        <v>2.1</v>
      </c>
      <c r="K26">
        <v>2.1240000000000001</v>
      </c>
      <c r="L26">
        <v>2.1030000000000002</v>
      </c>
      <c r="M26">
        <v>2.1240000000000001</v>
      </c>
      <c r="N26" s="14"/>
      <c r="O26" s="13"/>
    </row>
    <row r="27" spans="1:15" x14ac:dyDescent="0.25">
      <c r="A27" s="4">
        <v>25</v>
      </c>
      <c r="B27">
        <v>2.1139999999999999</v>
      </c>
      <c r="C27">
        <v>2.1269999999999998</v>
      </c>
      <c r="D27">
        <v>2.117</v>
      </c>
      <c r="E27">
        <v>2.121</v>
      </c>
      <c r="F27">
        <v>2.1389999999999998</v>
      </c>
      <c r="G27">
        <v>2.1419999999999999</v>
      </c>
      <c r="H27">
        <v>2.1139999999999999</v>
      </c>
      <c r="I27">
        <v>2.1030000000000002</v>
      </c>
      <c r="J27">
        <v>2.1</v>
      </c>
      <c r="K27">
        <v>2.13</v>
      </c>
      <c r="L27">
        <v>2.1150000000000002</v>
      </c>
      <c r="M27">
        <v>2.1190000000000002</v>
      </c>
      <c r="N27" s="14"/>
      <c r="O27" s="13"/>
    </row>
    <row r="28" spans="1:15" x14ac:dyDescent="0.25">
      <c r="A28" s="4">
        <v>26</v>
      </c>
      <c r="B28">
        <v>2.097</v>
      </c>
      <c r="C28">
        <v>2.121</v>
      </c>
      <c r="D28">
        <v>2.125</v>
      </c>
      <c r="E28">
        <v>2.129</v>
      </c>
      <c r="F28">
        <v>2.113</v>
      </c>
      <c r="G28">
        <v>2.117</v>
      </c>
      <c r="H28">
        <v>2.1309999999999998</v>
      </c>
      <c r="I28">
        <v>2.1379999999999999</v>
      </c>
      <c r="J28">
        <v>2.1339999999999999</v>
      </c>
      <c r="K28">
        <v>2.1379999999999999</v>
      </c>
      <c r="L28">
        <v>2.121</v>
      </c>
      <c r="M28">
        <v>2.1030000000000002</v>
      </c>
      <c r="N28" s="14"/>
      <c r="O28" s="13"/>
    </row>
    <row r="29" spans="1:15" x14ac:dyDescent="0.25">
      <c r="A29" s="4">
        <v>27</v>
      </c>
      <c r="B29">
        <v>2.0960000000000001</v>
      </c>
      <c r="C29">
        <v>2.1230000000000002</v>
      </c>
      <c r="D29">
        <v>2.1110000000000002</v>
      </c>
      <c r="E29">
        <v>2.13</v>
      </c>
      <c r="F29">
        <v>2.1150000000000002</v>
      </c>
      <c r="G29">
        <v>2.0830000000000002</v>
      </c>
      <c r="H29">
        <v>2.129</v>
      </c>
      <c r="I29">
        <v>2.1379999999999999</v>
      </c>
      <c r="J29">
        <v>2.1379999999999999</v>
      </c>
      <c r="K29">
        <v>2.1240000000000001</v>
      </c>
      <c r="L29">
        <v>2.1190000000000002</v>
      </c>
      <c r="M29">
        <v>2.12</v>
      </c>
      <c r="N29" s="14"/>
      <c r="O29" s="13"/>
    </row>
    <row r="30" spans="1:15" x14ac:dyDescent="0.25">
      <c r="A30" s="4">
        <v>28</v>
      </c>
      <c r="B30">
        <v>2.13</v>
      </c>
      <c r="C30">
        <v>2.117</v>
      </c>
      <c r="D30">
        <v>2.1280000000000001</v>
      </c>
      <c r="E30">
        <v>2.1179999999999999</v>
      </c>
      <c r="F30">
        <v>2.1360000000000001</v>
      </c>
      <c r="G30">
        <v>2.0840000000000001</v>
      </c>
      <c r="H30">
        <v>2.1179999999999999</v>
      </c>
      <c r="I30">
        <v>2.1110000000000002</v>
      </c>
      <c r="J30">
        <v>2.1110000000000002</v>
      </c>
      <c r="K30">
        <v>2.113</v>
      </c>
      <c r="L30">
        <v>2.117</v>
      </c>
      <c r="M30">
        <v>2.1309999999999998</v>
      </c>
      <c r="N30" s="14"/>
      <c r="O30" s="13"/>
    </row>
    <row r="31" spans="1:15" x14ac:dyDescent="0.25">
      <c r="A31" s="4">
        <v>29</v>
      </c>
      <c r="B31">
        <v>2.137</v>
      </c>
      <c r="C31">
        <v>2.1190000000000002</v>
      </c>
      <c r="D31">
        <v>2.1269999999999998</v>
      </c>
      <c r="E31">
        <v>2.149</v>
      </c>
      <c r="F31">
        <v>2.14</v>
      </c>
      <c r="G31">
        <v>2.1349999999999998</v>
      </c>
      <c r="H31">
        <v>2.1440000000000001</v>
      </c>
      <c r="I31">
        <v>2.12</v>
      </c>
      <c r="J31">
        <v>2.1190000000000002</v>
      </c>
      <c r="K31">
        <v>2.1179999999999999</v>
      </c>
      <c r="L31">
        <v>2.13</v>
      </c>
      <c r="M31">
        <v>2.1139999999999999</v>
      </c>
      <c r="N31" s="14"/>
      <c r="O31" s="13"/>
    </row>
    <row r="32" spans="1:15" x14ac:dyDescent="0.25">
      <c r="A32" s="4">
        <v>30</v>
      </c>
      <c r="B32">
        <v>2.1</v>
      </c>
      <c r="C32">
        <v>2.1019999999999999</v>
      </c>
      <c r="D32">
        <v>2.1120000000000001</v>
      </c>
      <c r="E32">
        <v>2.125</v>
      </c>
      <c r="F32">
        <v>2.1019999999999999</v>
      </c>
      <c r="G32">
        <v>2.0910000000000002</v>
      </c>
      <c r="H32">
        <v>2.113</v>
      </c>
      <c r="I32">
        <v>2.0979999999999999</v>
      </c>
      <c r="J32">
        <v>2.11</v>
      </c>
      <c r="K32">
        <v>2.1219999999999999</v>
      </c>
      <c r="L32">
        <v>2.1080000000000001</v>
      </c>
      <c r="M32">
        <v>2.0950000000000002</v>
      </c>
      <c r="N32" s="14"/>
      <c r="O32" s="13"/>
    </row>
    <row r="33" spans="1:15" x14ac:dyDescent="0.25">
      <c r="A33" s="4">
        <v>31</v>
      </c>
      <c r="B33">
        <v>2.0950000000000002</v>
      </c>
      <c r="C33">
        <v>2.1110000000000002</v>
      </c>
      <c r="D33">
        <v>2.1059999999999999</v>
      </c>
      <c r="E33">
        <v>2.1230000000000002</v>
      </c>
      <c r="F33">
        <v>2.0990000000000002</v>
      </c>
      <c r="G33">
        <v>2.1059999999999999</v>
      </c>
      <c r="H33">
        <v>2.0990000000000002</v>
      </c>
      <c r="I33">
        <v>2.109</v>
      </c>
      <c r="J33">
        <v>2.1080000000000001</v>
      </c>
      <c r="K33">
        <v>2.0950000000000002</v>
      </c>
      <c r="L33">
        <v>2.0979999999999999</v>
      </c>
      <c r="M33">
        <v>2.1059999999999999</v>
      </c>
      <c r="N33" s="14"/>
      <c r="O33" s="13"/>
    </row>
    <row r="34" spans="1:15" x14ac:dyDescent="0.25">
      <c r="A34" s="4">
        <v>32</v>
      </c>
      <c r="B34">
        <v>2.109</v>
      </c>
      <c r="C34">
        <v>2.133</v>
      </c>
      <c r="D34">
        <v>2.141</v>
      </c>
      <c r="E34">
        <v>2.125</v>
      </c>
      <c r="F34">
        <v>2.0960000000000001</v>
      </c>
      <c r="G34">
        <v>2.1139999999999999</v>
      </c>
      <c r="H34">
        <v>2.137</v>
      </c>
      <c r="I34">
        <v>2.1230000000000002</v>
      </c>
      <c r="J34">
        <v>2.125</v>
      </c>
      <c r="K34">
        <v>2.097</v>
      </c>
      <c r="L34">
        <v>2.125</v>
      </c>
      <c r="M34">
        <v>2.1230000000000002</v>
      </c>
      <c r="N34" s="14"/>
      <c r="O34" s="13"/>
    </row>
    <row r="35" spans="1:15" x14ac:dyDescent="0.25">
      <c r="A35" s="4">
        <v>33</v>
      </c>
      <c r="B35">
        <v>2.121</v>
      </c>
      <c r="C35">
        <v>2.125</v>
      </c>
      <c r="D35">
        <v>2.14</v>
      </c>
      <c r="E35">
        <v>2.1240000000000001</v>
      </c>
      <c r="F35">
        <v>2.113</v>
      </c>
      <c r="G35">
        <v>2.101</v>
      </c>
      <c r="H35">
        <v>2.1230000000000002</v>
      </c>
      <c r="I35">
        <v>2.1070000000000002</v>
      </c>
      <c r="J35">
        <v>2.1429999999999998</v>
      </c>
      <c r="K35">
        <v>2.0880000000000001</v>
      </c>
      <c r="L35">
        <v>2.1280000000000001</v>
      </c>
      <c r="M35">
        <v>2.1150000000000002</v>
      </c>
      <c r="N35" s="14"/>
      <c r="O35" s="13"/>
    </row>
    <row r="36" spans="1:15" x14ac:dyDescent="0.25">
      <c r="A36" s="4">
        <v>34</v>
      </c>
      <c r="B36">
        <v>2.1190000000000002</v>
      </c>
      <c r="C36">
        <v>2.1280000000000001</v>
      </c>
      <c r="D36">
        <v>2.1070000000000002</v>
      </c>
      <c r="E36">
        <v>2.133</v>
      </c>
      <c r="F36">
        <v>2.113</v>
      </c>
      <c r="G36">
        <v>2.0990000000000002</v>
      </c>
      <c r="H36">
        <v>2.1219999999999999</v>
      </c>
      <c r="I36">
        <v>2.1269999999999998</v>
      </c>
      <c r="J36">
        <v>2.1339999999999999</v>
      </c>
      <c r="K36">
        <v>2.1560000000000001</v>
      </c>
      <c r="L36">
        <v>2.121</v>
      </c>
      <c r="M36">
        <v>2.1150000000000002</v>
      </c>
      <c r="N36" s="14"/>
      <c r="O36" s="13"/>
    </row>
    <row r="37" spans="1:15" x14ac:dyDescent="0.25">
      <c r="A37" s="4">
        <v>35</v>
      </c>
      <c r="B37">
        <v>2.1120000000000001</v>
      </c>
      <c r="C37">
        <v>2.1160000000000001</v>
      </c>
      <c r="D37">
        <v>2.0990000000000002</v>
      </c>
      <c r="E37">
        <v>2.101</v>
      </c>
      <c r="F37">
        <v>2.1560000000000001</v>
      </c>
      <c r="G37">
        <v>2.149</v>
      </c>
      <c r="H37">
        <v>2.1110000000000002</v>
      </c>
      <c r="I37">
        <v>2.1240000000000001</v>
      </c>
      <c r="J37">
        <v>2.121</v>
      </c>
      <c r="K37">
        <v>2.1309999999999998</v>
      </c>
      <c r="L37">
        <v>2.12</v>
      </c>
      <c r="M37">
        <v>2.1190000000000002</v>
      </c>
      <c r="N37" s="14"/>
      <c r="O37" s="13"/>
    </row>
    <row r="38" spans="1:15" x14ac:dyDescent="0.25">
      <c r="A38" s="4">
        <v>36</v>
      </c>
      <c r="B38">
        <v>2.1320000000000001</v>
      </c>
      <c r="C38">
        <v>2.1219999999999999</v>
      </c>
      <c r="D38">
        <v>2.1309999999999998</v>
      </c>
      <c r="E38">
        <v>2.1160000000000001</v>
      </c>
      <c r="F38">
        <v>2.141</v>
      </c>
      <c r="G38">
        <v>2.1419999999999999</v>
      </c>
      <c r="H38">
        <v>2.1160000000000001</v>
      </c>
      <c r="I38">
        <v>2.113</v>
      </c>
      <c r="J38">
        <v>2.1280000000000001</v>
      </c>
      <c r="K38">
        <v>2.1160000000000001</v>
      </c>
      <c r="L38">
        <v>2.1040000000000001</v>
      </c>
      <c r="M38">
        <v>2.1280000000000001</v>
      </c>
      <c r="N38" s="14"/>
      <c r="O38" s="13"/>
    </row>
    <row r="39" spans="1:15" x14ac:dyDescent="0.25">
      <c r="A39" s="4">
        <v>37</v>
      </c>
      <c r="B39">
        <v>2.1320000000000001</v>
      </c>
      <c r="C39">
        <v>2.1150000000000002</v>
      </c>
      <c r="D39">
        <v>2.117</v>
      </c>
      <c r="E39">
        <v>2.109</v>
      </c>
      <c r="F39">
        <v>2.15</v>
      </c>
      <c r="G39">
        <v>2.1349999999999998</v>
      </c>
      <c r="H39">
        <v>2.1230000000000002</v>
      </c>
      <c r="I39">
        <v>2.1280000000000001</v>
      </c>
      <c r="J39">
        <v>2.1259999999999999</v>
      </c>
      <c r="K39">
        <v>2.1139999999999999</v>
      </c>
      <c r="L39">
        <v>2.12</v>
      </c>
      <c r="M39">
        <v>2.13</v>
      </c>
      <c r="N39" s="14"/>
      <c r="O39" s="13"/>
    </row>
    <row r="40" spans="1:15" x14ac:dyDescent="0.25">
      <c r="A40" s="4">
        <v>38</v>
      </c>
      <c r="B40">
        <v>2.1240000000000001</v>
      </c>
      <c r="C40">
        <v>2.12</v>
      </c>
      <c r="D40">
        <v>2.0990000000000002</v>
      </c>
      <c r="E40">
        <v>2.0960000000000001</v>
      </c>
      <c r="F40">
        <v>2.1070000000000002</v>
      </c>
      <c r="G40">
        <v>2.105</v>
      </c>
      <c r="H40">
        <v>2.1219999999999999</v>
      </c>
      <c r="I40">
        <v>2.121</v>
      </c>
      <c r="J40">
        <v>2.11</v>
      </c>
      <c r="K40">
        <v>2.0979999999999999</v>
      </c>
      <c r="L40">
        <v>2.1160000000000001</v>
      </c>
      <c r="M40">
        <v>2.089</v>
      </c>
      <c r="N40" s="14"/>
      <c r="O40" s="13"/>
    </row>
    <row r="41" spans="1:15" x14ac:dyDescent="0.25">
      <c r="A41" s="4">
        <v>39</v>
      </c>
      <c r="B41">
        <v>2.1389999999999998</v>
      </c>
      <c r="C41">
        <v>2.109</v>
      </c>
      <c r="D41">
        <v>2.1030000000000002</v>
      </c>
      <c r="E41">
        <v>2.1320000000000001</v>
      </c>
      <c r="F41">
        <v>2.1019999999999999</v>
      </c>
      <c r="G41">
        <v>2.1219999999999999</v>
      </c>
      <c r="H41">
        <v>2.1190000000000002</v>
      </c>
      <c r="I41">
        <v>2.1080000000000001</v>
      </c>
      <c r="J41">
        <v>2.1019999999999999</v>
      </c>
      <c r="K41">
        <v>2.105</v>
      </c>
      <c r="L41">
        <v>2.1160000000000001</v>
      </c>
      <c r="M41">
        <v>2.1019999999999999</v>
      </c>
      <c r="N41" s="14"/>
      <c r="O41" s="13"/>
    </row>
    <row r="42" spans="1:15" x14ac:dyDescent="0.25">
      <c r="A42" s="4">
        <v>40</v>
      </c>
      <c r="B42">
        <v>2.12</v>
      </c>
      <c r="C42">
        <v>2.125</v>
      </c>
      <c r="D42">
        <v>2.133</v>
      </c>
      <c r="E42">
        <v>2.1110000000000002</v>
      </c>
      <c r="F42">
        <v>2.1160000000000001</v>
      </c>
      <c r="G42">
        <v>2.1589999999999998</v>
      </c>
      <c r="H42">
        <v>2.1219999999999999</v>
      </c>
      <c r="I42">
        <v>2.1139999999999999</v>
      </c>
      <c r="J42">
        <v>2.1230000000000002</v>
      </c>
      <c r="K42">
        <v>2.1349999999999998</v>
      </c>
      <c r="L42">
        <v>2.133</v>
      </c>
      <c r="M42">
        <v>2.13</v>
      </c>
      <c r="N42" s="14"/>
      <c r="O42" s="13"/>
    </row>
    <row r="43" spans="1:15" x14ac:dyDescent="0.25">
      <c r="A43" s="4">
        <v>41</v>
      </c>
      <c r="B43">
        <v>2.121</v>
      </c>
      <c r="C43">
        <v>2.1389999999999998</v>
      </c>
      <c r="D43">
        <v>2.1240000000000001</v>
      </c>
      <c r="E43">
        <v>2.1240000000000001</v>
      </c>
      <c r="F43">
        <v>2.129</v>
      </c>
      <c r="G43">
        <v>2.129</v>
      </c>
      <c r="H43">
        <v>2.1139999999999999</v>
      </c>
      <c r="I43">
        <v>2.12</v>
      </c>
      <c r="J43">
        <v>2.1190000000000002</v>
      </c>
      <c r="K43">
        <v>2.141</v>
      </c>
      <c r="L43">
        <v>2.1190000000000002</v>
      </c>
      <c r="M43">
        <v>2.113</v>
      </c>
      <c r="N43" s="14"/>
      <c r="O43" s="13"/>
    </row>
    <row r="44" spans="1:15" x14ac:dyDescent="0.25">
      <c r="A44" s="4">
        <v>42</v>
      </c>
      <c r="B44">
        <v>2.113</v>
      </c>
      <c r="C44">
        <v>2.0990000000000002</v>
      </c>
      <c r="D44">
        <v>2.1080000000000001</v>
      </c>
      <c r="E44">
        <v>2.121</v>
      </c>
      <c r="F44">
        <v>2.1110000000000002</v>
      </c>
      <c r="G44">
        <v>2.093</v>
      </c>
      <c r="H44">
        <v>2.1150000000000002</v>
      </c>
      <c r="I44">
        <v>2.1360000000000001</v>
      </c>
      <c r="J44">
        <v>2.121</v>
      </c>
      <c r="K44">
        <v>2.11</v>
      </c>
      <c r="L44">
        <v>2.1190000000000002</v>
      </c>
      <c r="M44">
        <v>2.13</v>
      </c>
      <c r="N44" s="14"/>
      <c r="O44" s="13"/>
    </row>
    <row r="45" spans="1:15" x14ac:dyDescent="0.25">
      <c r="A45" s="4">
        <v>43</v>
      </c>
      <c r="B45">
        <v>2.125</v>
      </c>
      <c r="C45">
        <v>2.1059999999999999</v>
      </c>
      <c r="D45">
        <v>2.1219999999999999</v>
      </c>
      <c r="E45">
        <v>2.125</v>
      </c>
      <c r="F45">
        <v>2.1110000000000002</v>
      </c>
      <c r="G45">
        <v>2.1150000000000002</v>
      </c>
      <c r="H45">
        <v>2.121</v>
      </c>
      <c r="I45">
        <v>2.1120000000000001</v>
      </c>
      <c r="J45">
        <v>2.109</v>
      </c>
      <c r="K45">
        <v>2.1080000000000001</v>
      </c>
      <c r="L45">
        <v>2.1139999999999999</v>
      </c>
      <c r="M45">
        <v>2.1240000000000001</v>
      </c>
      <c r="N45" s="14"/>
      <c r="O45" s="13"/>
    </row>
    <row r="46" spans="1:15" x14ac:dyDescent="0.25">
      <c r="A46" s="4">
        <v>44</v>
      </c>
      <c r="B46">
        <v>2.1</v>
      </c>
      <c r="C46">
        <v>2.121</v>
      </c>
      <c r="D46">
        <v>2.1070000000000002</v>
      </c>
      <c r="E46">
        <v>2.097</v>
      </c>
      <c r="F46">
        <v>2.1230000000000002</v>
      </c>
      <c r="G46">
        <v>2.1469999999999998</v>
      </c>
      <c r="H46">
        <v>2.1139999999999999</v>
      </c>
      <c r="I46">
        <v>2.1080000000000001</v>
      </c>
      <c r="J46">
        <v>2.117</v>
      </c>
      <c r="K46">
        <v>2.0880000000000001</v>
      </c>
      <c r="L46">
        <v>2.1059999999999999</v>
      </c>
      <c r="M46">
        <v>2.1240000000000001</v>
      </c>
      <c r="N46" s="14"/>
      <c r="O46" s="13"/>
    </row>
    <row r="47" spans="1:15" x14ac:dyDescent="0.25">
      <c r="A47" s="4">
        <v>45</v>
      </c>
      <c r="B47">
        <v>2.1349999999999998</v>
      </c>
      <c r="C47">
        <v>2.125</v>
      </c>
      <c r="D47">
        <v>2.125</v>
      </c>
      <c r="E47">
        <v>2.117</v>
      </c>
      <c r="F47">
        <v>2.13</v>
      </c>
      <c r="G47">
        <v>2.1419999999999999</v>
      </c>
      <c r="H47"/>
      <c r="I47"/>
      <c r="J47"/>
      <c r="K47"/>
      <c r="L47"/>
      <c r="M47"/>
      <c r="N47" s="14"/>
      <c r="O47" s="13"/>
    </row>
    <row r="48" spans="1:15" x14ac:dyDescent="0.25">
      <c r="A48" s="4">
        <v>46</v>
      </c>
      <c r="B48">
        <v>2.1110000000000002</v>
      </c>
      <c r="C48">
        <v>2.1179999999999999</v>
      </c>
      <c r="D48">
        <v>2.1240000000000001</v>
      </c>
      <c r="E48">
        <v>2.1190000000000002</v>
      </c>
      <c r="F48">
        <v>2.1139999999999999</v>
      </c>
      <c r="G48">
        <v>2.0920000000000001</v>
      </c>
      <c r="H48">
        <v>2.1019999999999999</v>
      </c>
      <c r="I48">
        <v>2.105</v>
      </c>
      <c r="J48">
        <v>2.1240000000000001</v>
      </c>
      <c r="K48">
        <v>2.1269999999999998</v>
      </c>
      <c r="L48">
        <v>2.121</v>
      </c>
      <c r="M48">
        <v>2.1269999999999998</v>
      </c>
      <c r="N48" s="14"/>
      <c r="O48" s="13"/>
    </row>
    <row r="49" spans="1:15" x14ac:dyDescent="0.25">
      <c r="A49" s="4">
        <v>47</v>
      </c>
      <c r="B49">
        <v>2.1120000000000001</v>
      </c>
      <c r="C49">
        <v>2.1269999999999998</v>
      </c>
      <c r="D49">
        <v>2.121</v>
      </c>
      <c r="E49">
        <v>2.101</v>
      </c>
      <c r="F49">
        <v>2.1059999999999999</v>
      </c>
      <c r="G49">
        <v>2.0840000000000001</v>
      </c>
      <c r="H49">
        <v>2.129</v>
      </c>
      <c r="I49">
        <v>2.1389999999999998</v>
      </c>
      <c r="J49">
        <v>2.117</v>
      </c>
      <c r="K49">
        <v>2.1309999999999998</v>
      </c>
      <c r="L49">
        <v>2.117</v>
      </c>
      <c r="M49">
        <v>2.1070000000000002</v>
      </c>
      <c r="N49" s="14"/>
      <c r="O49" s="13"/>
    </row>
    <row r="50" spans="1:15" x14ac:dyDescent="0.25">
      <c r="A50" s="4">
        <v>48</v>
      </c>
      <c r="B50">
        <v>2.1309999999999998</v>
      </c>
      <c r="C50">
        <v>2.1080000000000001</v>
      </c>
      <c r="D50">
        <v>2.1320000000000001</v>
      </c>
      <c r="E50">
        <v>2.0990000000000002</v>
      </c>
      <c r="F50">
        <v>2.1219999999999999</v>
      </c>
      <c r="G50">
        <v>2.1019999999999999</v>
      </c>
      <c r="H50">
        <v>2.1269999999999998</v>
      </c>
      <c r="I50">
        <v>2.137</v>
      </c>
      <c r="J50">
        <v>2.1360000000000001</v>
      </c>
      <c r="K50">
        <v>2.1110000000000002</v>
      </c>
      <c r="L50">
        <v>2.1360000000000001</v>
      </c>
      <c r="M50">
        <v>2.1360000000000001</v>
      </c>
      <c r="N50" s="14"/>
      <c r="O50" s="13"/>
    </row>
    <row r="51" spans="1:15" x14ac:dyDescent="0.25">
      <c r="A51" s="4">
        <v>49</v>
      </c>
      <c r="B51">
        <v>2.1219999999999999</v>
      </c>
      <c r="C51">
        <v>2.1150000000000002</v>
      </c>
      <c r="D51">
        <v>2.1139999999999999</v>
      </c>
      <c r="E51">
        <v>2.1080000000000001</v>
      </c>
      <c r="F51">
        <v>2.133</v>
      </c>
      <c r="G51">
        <v>2.1429999999999998</v>
      </c>
      <c r="H51">
        <v>2.125</v>
      </c>
      <c r="I51">
        <v>2.121</v>
      </c>
      <c r="J51">
        <v>2.101</v>
      </c>
      <c r="K51">
        <v>2.0950000000000002</v>
      </c>
      <c r="L51">
        <v>2.1110000000000002</v>
      </c>
      <c r="M51">
        <v>2.077</v>
      </c>
      <c r="N51" s="14"/>
      <c r="O51" s="13"/>
    </row>
    <row r="52" spans="1:15" x14ac:dyDescent="0.25">
      <c r="A52" s="4">
        <v>50</v>
      </c>
      <c r="B52">
        <v>2.0880000000000001</v>
      </c>
      <c r="C52">
        <v>2.1230000000000002</v>
      </c>
      <c r="D52">
        <v>2.129</v>
      </c>
      <c r="E52">
        <v>2.133</v>
      </c>
      <c r="F52">
        <v>2.109</v>
      </c>
      <c r="G52">
        <v>2.1240000000000001</v>
      </c>
      <c r="H52">
        <v>2.129</v>
      </c>
      <c r="I52">
        <v>2.1339999999999999</v>
      </c>
      <c r="J52">
        <v>2.1040000000000001</v>
      </c>
      <c r="K52">
        <v>2.1240000000000001</v>
      </c>
      <c r="L52">
        <v>2.1190000000000002</v>
      </c>
      <c r="M52">
        <v>2.1059999999999999</v>
      </c>
      <c r="N52" s="14"/>
      <c r="O52" s="13"/>
    </row>
    <row r="53" spans="1:15" ht="13.5" customHeight="1" x14ac:dyDescent="0.25">
      <c r="A53" s="4">
        <v>51</v>
      </c>
      <c r="B53">
        <v>2.1070000000000002</v>
      </c>
      <c r="C53">
        <v>2.117</v>
      </c>
      <c r="D53">
        <v>2.1070000000000002</v>
      </c>
      <c r="E53">
        <v>2.1419999999999999</v>
      </c>
      <c r="F53">
        <v>2.125</v>
      </c>
      <c r="G53">
        <v>2.1309999999999998</v>
      </c>
      <c r="H53">
        <v>2.0939999999999999</v>
      </c>
      <c r="I53">
        <v>2.105</v>
      </c>
      <c r="J53">
        <v>2.109</v>
      </c>
      <c r="K53">
        <v>2.0569999999999999</v>
      </c>
      <c r="L53">
        <v>2.121</v>
      </c>
      <c r="M53">
        <v>2.1120000000000001</v>
      </c>
      <c r="N53" s="14"/>
      <c r="O53" s="13"/>
    </row>
    <row r="54" spans="1:15" x14ac:dyDescent="0.25">
      <c r="A54" s="4">
        <v>52</v>
      </c>
      <c r="B54">
        <v>2.1070000000000002</v>
      </c>
      <c r="C54">
        <v>2.11</v>
      </c>
      <c r="D54">
        <v>2.1320000000000001</v>
      </c>
      <c r="E54">
        <v>2.1110000000000002</v>
      </c>
      <c r="F54">
        <v>2.1280000000000001</v>
      </c>
      <c r="G54">
        <v>2.125</v>
      </c>
      <c r="H54">
        <v>2.129</v>
      </c>
      <c r="I54">
        <v>2.129</v>
      </c>
      <c r="J54">
        <v>2.149</v>
      </c>
      <c r="K54">
        <v>2.109</v>
      </c>
      <c r="L54">
        <v>2.1440000000000001</v>
      </c>
      <c r="M54">
        <v>2.1379999999999999</v>
      </c>
      <c r="N54" s="14"/>
      <c r="O54" s="13"/>
    </row>
    <row r="55" spans="1:15" x14ac:dyDescent="0.25">
      <c r="A55" s="4">
        <v>53</v>
      </c>
      <c r="B55"/>
      <c r="C55"/>
      <c r="D55"/>
      <c r="E55"/>
      <c r="F55"/>
      <c r="G55"/>
      <c r="H55">
        <v>2.109</v>
      </c>
      <c r="I55">
        <v>2.11</v>
      </c>
      <c r="J55">
        <v>2.165</v>
      </c>
      <c r="K55">
        <v>2.1179999999999999</v>
      </c>
      <c r="L55">
        <v>2.1190000000000002</v>
      </c>
      <c r="M55">
        <v>2.1240000000000001</v>
      </c>
      <c r="N55" s="14"/>
      <c r="O55" s="13"/>
    </row>
    <row r="56" spans="1:15" x14ac:dyDescent="0.25">
      <c r="A56" s="4">
        <v>54</v>
      </c>
      <c r="B56">
        <v>2.1110000000000002</v>
      </c>
      <c r="C56">
        <v>2.1110000000000002</v>
      </c>
      <c r="D56">
        <v>2.1230000000000002</v>
      </c>
      <c r="E56">
        <v>2.117</v>
      </c>
      <c r="F56">
        <v>2.1190000000000002</v>
      </c>
      <c r="G56">
        <v>2.125</v>
      </c>
      <c r="H56">
        <v>2.109</v>
      </c>
      <c r="I56">
        <v>2.1059999999999999</v>
      </c>
      <c r="J56">
        <v>2.1480000000000001</v>
      </c>
      <c r="K56">
        <v>2.1080000000000001</v>
      </c>
      <c r="L56">
        <v>2.12</v>
      </c>
      <c r="M56">
        <v>2.1360000000000001</v>
      </c>
      <c r="N56" s="14"/>
      <c r="O56" s="13"/>
    </row>
    <row r="57" spans="1:15" x14ac:dyDescent="0.25">
      <c r="A57" s="4">
        <v>55</v>
      </c>
      <c r="B57">
        <v>2.14</v>
      </c>
      <c r="C57">
        <v>2.129</v>
      </c>
      <c r="D57">
        <v>2.1040000000000001</v>
      </c>
      <c r="E57">
        <v>2.1419999999999999</v>
      </c>
      <c r="F57">
        <v>2.1389999999999998</v>
      </c>
      <c r="G57">
        <v>2.12</v>
      </c>
      <c r="H57">
        <v>2.1059999999999999</v>
      </c>
      <c r="I57">
        <v>2.129</v>
      </c>
      <c r="J57">
        <v>2.1240000000000001</v>
      </c>
      <c r="K57">
        <v>2.117</v>
      </c>
      <c r="L57">
        <v>2.14</v>
      </c>
      <c r="M57">
        <v>2.1139999999999999</v>
      </c>
      <c r="N57" s="14"/>
      <c r="O57" s="13"/>
    </row>
    <row r="58" spans="1:15" x14ac:dyDescent="0.25">
      <c r="A58" s="4">
        <v>56</v>
      </c>
      <c r="B58">
        <v>2.11</v>
      </c>
      <c r="C58" s="29"/>
      <c r="D58">
        <v>2.0950000000000002</v>
      </c>
      <c r="E58">
        <v>2.0979999999999999</v>
      </c>
      <c r="F58">
        <v>2.1219999999999999</v>
      </c>
      <c r="G58">
        <v>2.13</v>
      </c>
      <c r="H58">
        <v>2.1</v>
      </c>
      <c r="I58">
        <v>2.1240000000000001</v>
      </c>
      <c r="J58">
        <v>2.09</v>
      </c>
      <c r="K58">
        <v>2.129</v>
      </c>
      <c r="L58">
        <v>2.1349999999999998</v>
      </c>
      <c r="M58">
        <v>2.11</v>
      </c>
      <c r="N58" s="14"/>
      <c r="O58" s="13"/>
    </row>
    <row r="59" spans="1:15" x14ac:dyDescent="0.25">
      <c r="A59" s="4">
        <v>57</v>
      </c>
      <c r="B59">
        <v>2.1309999999999998</v>
      </c>
      <c r="C59">
        <v>2.1160000000000001</v>
      </c>
      <c r="D59">
        <v>2.0960000000000001</v>
      </c>
      <c r="E59">
        <v>2.101</v>
      </c>
      <c r="F59">
        <v>2.0960000000000001</v>
      </c>
      <c r="G59">
        <v>2.1139999999999999</v>
      </c>
      <c r="H59">
        <v>2.1419999999999999</v>
      </c>
      <c r="I59">
        <v>2.1240000000000001</v>
      </c>
      <c r="J59">
        <v>2.1339999999999999</v>
      </c>
      <c r="K59">
        <v>2.133</v>
      </c>
      <c r="L59">
        <v>2.121</v>
      </c>
      <c r="M59">
        <v>2.1139999999999999</v>
      </c>
      <c r="N59" s="14"/>
      <c r="O59" s="13"/>
    </row>
    <row r="60" spans="1:15" x14ac:dyDescent="0.25">
      <c r="A60" s="4">
        <v>58</v>
      </c>
      <c r="B60"/>
      <c r="C60"/>
      <c r="D60"/>
      <c r="E60"/>
      <c r="F60"/>
      <c r="G60"/>
      <c r="H60">
        <v>2.1219999999999999</v>
      </c>
      <c r="I60">
        <v>2.1219999999999999</v>
      </c>
      <c r="J60">
        <v>2.0950000000000002</v>
      </c>
      <c r="K60">
        <v>2.1240000000000001</v>
      </c>
      <c r="L60">
        <v>2.101</v>
      </c>
      <c r="M60">
        <v>2.1179999999999999</v>
      </c>
      <c r="N60" s="14"/>
      <c r="O60" s="13"/>
    </row>
    <row r="61" spans="1:15" x14ac:dyDescent="0.25">
      <c r="A61" s="4">
        <v>59</v>
      </c>
      <c r="B61">
        <v>2.13</v>
      </c>
      <c r="C61">
        <v>2.1070000000000002</v>
      </c>
      <c r="D61">
        <v>2.133</v>
      </c>
      <c r="E61">
        <v>2.0880000000000001</v>
      </c>
      <c r="F61">
        <v>2.1080000000000001</v>
      </c>
      <c r="G61">
        <v>2.1120000000000001</v>
      </c>
      <c r="H61">
        <v>2.1480000000000001</v>
      </c>
      <c r="I61">
        <v>2.1259999999999999</v>
      </c>
      <c r="J61">
        <v>2.113</v>
      </c>
      <c r="K61">
        <v>2.1019999999999999</v>
      </c>
      <c r="L61">
        <v>2.11</v>
      </c>
      <c r="M61">
        <v>2.1139999999999999</v>
      </c>
      <c r="N61" s="14"/>
      <c r="O61" s="13"/>
    </row>
    <row r="62" spans="1:15" x14ac:dyDescent="0.25">
      <c r="A62" s="4">
        <v>60</v>
      </c>
      <c r="B62">
        <v>2.0859999999999999</v>
      </c>
      <c r="C62">
        <v>2.11</v>
      </c>
      <c r="D62">
        <v>2.1059999999999999</v>
      </c>
      <c r="E62">
        <v>2.1080000000000001</v>
      </c>
      <c r="F62">
        <v>2.1240000000000001</v>
      </c>
      <c r="G62">
        <v>2.1120000000000001</v>
      </c>
      <c r="H62">
        <v>2.1080000000000001</v>
      </c>
      <c r="I62">
        <v>2.117</v>
      </c>
      <c r="J62">
        <v>2.0960000000000001</v>
      </c>
      <c r="K62">
        <v>2.1030000000000002</v>
      </c>
      <c r="L62">
        <v>2.1030000000000002</v>
      </c>
      <c r="M62">
        <v>2.1150000000000002</v>
      </c>
      <c r="N62" s="14"/>
      <c r="O62" s="13"/>
    </row>
    <row r="63" spans="1:15" x14ac:dyDescent="0.25">
      <c r="A63" s="4">
        <v>61</v>
      </c>
      <c r="B63">
        <v>2.1179999999999999</v>
      </c>
      <c r="C63">
        <v>2.1309999999999998</v>
      </c>
      <c r="D63">
        <v>2.133</v>
      </c>
      <c r="E63">
        <v>2.1150000000000002</v>
      </c>
      <c r="F63">
        <v>2.1040000000000001</v>
      </c>
      <c r="G63">
        <v>2.1349999999999998</v>
      </c>
      <c r="H63">
        <v>2.12</v>
      </c>
      <c r="I63">
        <v>2.0939999999999999</v>
      </c>
      <c r="J63">
        <v>2.0979999999999999</v>
      </c>
      <c r="K63">
        <v>2.1269999999999998</v>
      </c>
      <c r="L63">
        <v>2.1259999999999999</v>
      </c>
      <c r="M63">
        <v>2.121</v>
      </c>
      <c r="N63" s="14"/>
      <c r="O63" s="13"/>
    </row>
    <row r="64" spans="1:15" x14ac:dyDescent="0.25">
      <c r="A64" s="4">
        <v>62</v>
      </c>
      <c r="B64">
        <v>2.1360000000000001</v>
      </c>
      <c r="C64">
        <v>2.1240000000000001</v>
      </c>
      <c r="D64">
        <v>2.1230000000000002</v>
      </c>
      <c r="E64">
        <v>2.1309999999999998</v>
      </c>
      <c r="F64">
        <v>2.1219999999999999</v>
      </c>
      <c r="G64">
        <v>2.1280000000000001</v>
      </c>
      <c r="H64"/>
      <c r="I64"/>
      <c r="J64"/>
      <c r="K64"/>
      <c r="L64"/>
      <c r="M64"/>
      <c r="N64" s="14"/>
      <c r="O64" s="13"/>
    </row>
    <row r="65" spans="1:15" x14ac:dyDescent="0.25">
      <c r="A65" s="4">
        <v>63</v>
      </c>
      <c r="B65">
        <v>2.11</v>
      </c>
      <c r="C65">
        <v>2.1349999999999998</v>
      </c>
      <c r="D65">
        <v>2.1240000000000001</v>
      </c>
      <c r="E65">
        <v>2.129</v>
      </c>
      <c r="F65">
        <v>2.133</v>
      </c>
      <c r="G65">
        <v>2.141</v>
      </c>
      <c r="H65">
        <v>2.145</v>
      </c>
      <c r="I65">
        <v>2.1019999999999999</v>
      </c>
      <c r="J65">
        <v>2.0859999999999999</v>
      </c>
      <c r="K65">
        <v>2.1259999999999999</v>
      </c>
      <c r="L65">
        <v>2.113</v>
      </c>
      <c r="M65">
        <v>2.1219999999999999</v>
      </c>
      <c r="N65" s="14"/>
      <c r="O65" s="13"/>
    </row>
    <row r="66" spans="1:15" x14ac:dyDescent="0.25">
      <c r="A66" s="4">
        <v>64</v>
      </c>
      <c r="B66">
        <v>2.1059999999999999</v>
      </c>
      <c r="C66">
        <v>2.109</v>
      </c>
      <c r="D66">
        <v>2.1070000000000002</v>
      </c>
      <c r="E66">
        <v>2.1379999999999999</v>
      </c>
      <c r="F66">
        <v>2.1349999999999998</v>
      </c>
      <c r="G66">
        <v>2.129</v>
      </c>
      <c r="H66">
        <v>2.1539999999999999</v>
      </c>
      <c r="I66">
        <v>2.1240000000000001</v>
      </c>
      <c r="J66">
        <v>2.109</v>
      </c>
      <c r="K66">
        <v>2.1019999999999999</v>
      </c>
      <c r="L66">
        <v>2.1349999999999998</v>
      </c>
      <c r="M66">
        <v>2.1230000000000002</v>
      </c>
      <c r="N66" s="14"/>
      <c r="O66" s="13"/>
    </row>
    <row r="67" spans="1:15" x14ac:dyDescent="0.25">
      <c r="A67" s="4">
        <v>65</v>
      </c>
      <c r="B67">
        <v>2.113</v>
      </c>
      <c r="C67">
        <v>2.0990000000000002</v>
      </c>
      <c r="D67">
        <v>2.09</v>
      </c>
      <c r="E67">
        <v>2.081</v>
      </c>
      <c r="F67">
        <v>2.0920000000000001</v>
      </c>
      <c r="G67">
        <v>2.0990000000000002</v>
      </c>
      <c r="H67">
        <v>2.1520000000000001</v>
      </c>
      <c r="I67">
        <v>2.109</v>
      </c>
      <c r="J67">
        <v>2.1259999999999999</v>
      </c>
      <c r="K67">
        <v>2.1269999999999998</v>
      </c>
      <c r="L67">
        <v>2.137</v>
      </c>
      <c r="M67">
        <v>2.129</v>
      </c>
      <c r="N67" s="14"/>
      <c r="O67" s="13"/>
    </row>
    <row r="68" spans="1:15" x14ac:dyDescent="0.25">
      <c r="A68" s="4">
        <v>66</v>
      </c>
      <c r="B68">
        <v>2.129</v>
      </c>
      <c r="C68">
        <v>2.1320000000000001</v>
      </c>
      <c r="D68">
        <v>2.1179999999999999</v>
      </c>
      <c r="E68">
        <v>2.0750000000000002</v>
      </c>
      <c r="F68">
        <v>2.093</v>
      </c>
      <c r="G68">
        <v>2.1120000000000001</v>
      </c>
      <c r="H68"/>
      <c r="I68"/>
      <c r="J68"/>
      <c r="K68"/>
      <c r="L68"/>
      <c r="M68"/>
      <c r="N68" s="14"/>
      <c r="O68" s="13"/>
    </row>
    <row r="69" spans="1:15" x14ac:dyDescent="0.25">
      <c r="A69" s="4">
        <v>67</v>
      </c>
      <c r="B69">
        <v>2.1320000000000001</v>
      </c>
      <c r="C69">
        <v>2.13</v>
      </c>
      <c r="D69">
        <v>2.129</v>
      </c>
      <c r="E69">
        <v>2.0870000000000002</v>
      </c>
      <c r="F69">
        <v>2.1019999999999999</v>
      </c>
      <c r="G69">
        <v>2.105</v>
      </c>
      <c r="H69">
        <v>2.121</v>
      </c>
      <c r="I69">
        <v>2.1190000000000002</v>
      </c>
      <c r="J69">
        <v>2.1429999999999998</v>
      </c>
      <c r="K69">
        <v>2.14</v>
      </c>
      <c r="L69">
        <v>2.1059999999999999</v>
      </c>
      <c r="M69">
        <v>2.0990000000000002</v>
      </c>
      <c r="N69" s="14"/>
      <c r="O69" s="13"/>
    </row>
    <row r="70" spans="1:15" x14ac:dyDescent="0.25">
      <c r="A70" s="4">
        <v>68</v>
      </c>
      <c r="B70">
        <v>2.1240000000000001</v>
      </c>
      <c r="C70">
        <v>2.125</v>
      </c>
      <c r="D70">
        <v>2.121</v>
      </c>
      <c r="E70">
        <v>2.1440000000000001</v>
      </c>
      <c r="F70">
        <v>2.0979999999999999</v>
      </c>
      <c r="G70">
        <v>2.125</v>
      </c>
      <c r="H70">
        <v>2.0990000000000002</v>
      </c>
      <c r="I70">
        <v>2.1259999999999999</v>
      </c>
      <c r="J70">
        <v>2.1259999999999999</v>
      </c>
      <c r="K70">
        <v>2.1219999999999999</v>
      </c>
      <c r="L70">
        <v>2.1190000000000002</v>
      </c>
      <c r="M70">
        <v>2.1150000000000002</v>
      </c>
      <c r="N70" s="14"/>
      <c r="O70" s="13"/>
    </row>
    <row r="71" spans="1:15" x14ac:dyDescent="0.25">
      <c r="A71" s="4">
        <v>69</v>
      </c>
      <c r="B71">
        <v>2.1040000000000001</v>
      </c>
      <c r="C71">
        <v>2.1179999999999999</v>
      </c>
      <c r="D71">
        <v>2.1219999999999999</v>
      </c>
      <c r="E71">
        <v>2.1419999999999999</v>
      </c>
      <c r="F71">
        <v>2.12</v>
      </c>
      <c r="G71">
        <v>2.1160000000000001</v>
      </c>
      <c r="H71">
        <v>2.113</v>
      </c>
      <c r="I71">
        <v>2.0990000000000002</v>
      </c>
      <c r="J71">
        <v>2.1040000000000001</v>
      </c>
      <c r="K71">
        <v>2.11</v>
      </c>
      <c r="L71">
        <v>2.1030000000000002</v>
      </c>
      <c r="M71">
        <v>2.1230000000000002</v>
      </c>
      <c r="N71" s="14"/>
      <c r="O71" s="13"/>
    </row>
    <row r="72" spans="1:15" x14ac:dyDescent="0.25">
      <c r="A72" s="4">
        <v>70</v>
      </c>
      <c r="B72">
        <v>2.0920000000000001</v>
      </c>
      <c r="C72">
        <v>2.097</v>
      </c>
      <c r="D72">
        <v>2.1059999999999999</v>
      </c>
      <c r="E72">
        <v>2.0699999999999998</v>
      </c>
      <c r="F72">
        <v>2.1110000000000002</v>
      </c>
      <c r="G72">
        <v>2.1139999999999999</v>
      </c>
      <c r="H72"/>
      <c r="I72"/>
      <c r="J72"/>
      <c r="K72"/>
      <c r="L72"/>
      <c r="M72"/>
      <c r="N72" s="14"/>
      <c r="O72" s="13"/>
    </row>
    <row r="73" spans="1:15" ht="16.2" x14ac:dyDescent="0.25">
      <c r="A73" s="21" t="s">
        <v>38</v>
      </c>
      <c r="B73" s="22">
        <f t="shared" ref="B73:M73" si="0">COUNTA(B3:B72)</f>
        <v>63</v>
      </c>
      <c r="C73" s="22">
        <f t="shared" si="0"/>
        <v>62</v>
      </c>
      <c r="D73" s="22">
        <f t="shared" si="0"/>
        <v>63</v>
      </c>
      <c r="E73" s="22">
        <f t="shared" si="0"/>
        <v>63</v>
      </c>
      <c r="F73" s="22">
        <f t="shared" si="0"/>
        <v>63</v>
      </c>
      <c r="G73" s="22">
        <f t="shared" si="0"/>
        <v>63</v>
      </c>
      <c r="H73" s="22">
        <f t="shared" si="0"/>
        <v>61</v>
      </c>
      <c r="I73" s="22">
        <f t="shared" si="0"/>
        <v>61</v>
      </c>
      <c r="J73" s="22">
        <f t="shared" si="0"/>
        <v>61</v>
      </c>
      <c r="K73" s="22">
        <f t="shared" si="0"/>
        <v>61</v>
      </c>
      <c r="L73" s="22">
        <f t="shared" si="0"/>
        <v>61</v>
      </c>
      <c r="M73" s="22">
        <f t="shared" si="0"/>
        <v>60</v>
      </c>
      <c r="N73" s="20">
        <f>SUM(B73:M73)</f>
        <v>742</v>
      </c>
    </row>
    <row r="74" spans="1:15" x14ac:dyDescent="0.25">
      <c r="A74" s="1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</row>
    <row r="75" spans="1:15" ht="16.2" x14ac:dyDescent="0.25">
      <c r="A75" s="21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spans="1:15" ht="14.4" x14ac:dyDescent="0.25">
      <c r="A76" s="12" t="s">
        <v>0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spans="1:15" ht="28.2" x14ac:dyDescent="0.25">
      <c r="A77" s="2" t="s">
        <v>2</v>
      </c>
      <c r="B77" s="3" t="s">
        <v>18</v>
      </c>
      <c r="C77" s="3" t="s">
        <v>15</v>
      </c>
      <c r="D77" s="3" t="s">
        <v>19</v>
      </c>
      <c r="E77" s="3" t="s">
        <v>20</v>
      </c>
      <c r="F77" s="3" t="s">
        <v>16</v>
      </c>
      <c r="G77" s="3" t="s">
        <v>21</v>
      </c>
      <c r="H77" s="3" t="s">
        <v>22</v>
      </c>
      <c r="I77" s="3" t="s">
        <v>23</v>
      </c>
      <c r="J77" s="3" t="s">
        <v>24</v>
      </c>
      <c r="K77" s="3" t="s">
        <v>25</v>
      </c>
      <c r="L77" s="3" t="s">
        <v>26</v>
      </c>
      <c r="M77" s="3" t="s">
        <v>27</v>
      </c>
    </row>
    <row r="78" spans="1:15" ht="14.4" x14ac:dyDescent="0.25">
      <c r="A78" s="4" t="s">
        <v>28</v>
      </c>
      <c r="B78" s="10">
        <f t="shared" ref="B78:M78" si="1">AVERAGE(B3:B72)</f>
        <v>2.1190476190476191</v>
      </c>
      <c r="C78" s="10">
        <f t="shared" si="1"/>
        <v>2.1194838709677417</v>
      </c>
      <c r="D78" s="10">
        <f t="shared" si="1"/>
        <v>2.118492063492063</v>
      </c>
      <c r="E78" s="10">
        <f t="shared" si="1"/>
        <v>2.1188571428571428</v>
      </c>
      <c r="F78" s="10">
        <f t="shared" si="1"/>
        <v>2.1183492063492064</v>
      </c>
      <c r="G78" s="10">
        <f t="shared" si="1"/>
        <v>2.1208888888888895</v>
      </c>
      <c r="H78" s="10">
        <f t="shared" si="1"/>
        <v>2.1224918032786881</v>
      </c>
      <c r="I78" s="10">
        <f t="shared" si="1"/>
        <v>2.1164426229508195</v>
      </c>
      <c r="J78" s="10">
        <f t="shared" si="1"/>
        <v>2.1225409836065574</v>
      </c>
      <c r="K78" s="10">
        <f t="shared" si="1"/>
        <v>2.1160983606557382</v>
      </c>
      <c r="L78" s="10">
        <f t="shared" si="1"/>
        <v>2.1214590163934424</v>
      </c>
      <c r="M78" s="10">
        <f t="shared" si="1"/>
        <v>2.1161999999999996</v>
      </c>
    </row>
    <row r="79" spans="1:15" ht="14.4" x14ac:dyDescent="0.25">
      <c r="A79" s="4" t="s">
        <v>29</v>
      </c>
      <c r="B79" s="19">
        <f t="shared" ref="B79:M79" si="2">MIN(B3:B72)</f>
        <v>2.0859999999999999</v>
      </c>
      <c r="C79" s="19">
        <f t="shared" si="2"/>
        <v>2.085</v>
      </c>
      <c r="D79" s="19">
        <f t="shared" si="2"/>
        <v>2.09</v>
      </c>
      <c r="E79" s="19">
        <f t="shared" si="2"/>
        <v>2.0699999999999998</v>
      </c>
      <c r="F79" s="19">
        <f t="shared" si="2"/>
        <v>2.0910000000000002</v>
      </c>
      <c r="G79" s="19">
        <f t="shared" si="2"/>
        <v>2.0699999999999998</v>
      </c>
      <c r="H79" s="19">
        <f t="shared" si="2"/>
        <v>2.0939999999999999</v>
      </c>
      <c r="I79" s="19">
        <f t="shared" si="2"/>
        <v>2.0870000000000002</v>
      </c>
      <c r="J79" s="19">
        <f t="shared" si="2"/>
        <v>2.0859999999999999</v>
      </c>
      <c r="K79" s="19">
        <f t="shared" si="2"/>
        <v>2.0569999999999999</v>
      </c>
      <c r="L79" s="19">
        <f t="shared" si="2"/>
        <v>2.0880000000000001</v>
      </c>
      <c r="M79" s="19">
        <f t="shared" si="2"/>
        <v>2.0710000000000002</v>
      </c>
    </row>
    <row r="80" spans="1:15" ht="14.4" x14ac:dyDescent="0.25">
      <c r="A80" s="4" t="s">
        <v>30</v>
      </c>
      <c r="B80" s="10">
        <f t="shared" ref="B80:M80" si="3">MAX(B3:B72)</f>
        <v>2.1760000000000002</v>
      </c>
      <c r="C80" s="10">
        <f t="shared" si="3"/>
        <v>2.145</v>
      </c>
      <c r="D80" s="10">
        <f t="shared" si="3"/>
        <v>2.145</v>
      </c>
      <c r="E80" s="10">
        <f t="shared" si="3"/>
        <v>2.169</v>
      </c>
      <c r="F80" s="10">
        <f t="shared" si="3"/>
        <v>2.1560000000000001</v>
      </c>
      <c r="G80" s="10">
        <f t="shared" si="3"/>
        <v>2.1629999999999998</v>
      </c>
      <c r="H80" s="10">
        <f t="shared" si="3"/>
        <v>2.1539999999999999</v>
      </c>
      <c r="I80" s="10">
        <f t="shared" si="3"/>
        <v>2.1720000000000002</v>
      </c>
      <c r="J80" s="10">
        <f t="shared" si="3"/>
        <v>2.165</v>
      </c>
      <c r="K80" s="10">
        <f t="shared" si="3"/>
        <v>2.1629999999999998</v>
      </c>
      <c r="L80" s="10">
        <f t="shared" si="3"/>
        <v>2.157</v>
      </c>
      <c r="M80" s="10">
        <f t="shared" si="3"/>
        <v>2.1459999999999999</v>
      </c>
    </row>
    <row r="81" spans="1:13" ht="14.4" x14ac:dyDescent="0.25">
      <c r="A81" s="4" t="s">
        <v>1</v>
      </c>
      <c r="B81" s="10">
        <f t="shared" ref="B81:M81" si="4">_xlfn.STDEV.P(B3:B72)</f>
        <v>1.7169952132601505E-2</v>
      </c>
      <c r="C81" s="10">
        <f t="shared" si="4"/>
        <v>1.2135979479169938E-2</v>
      </c>
      <c r="D81" s="10">
        <f t="shared" si="4"/>
        <v>1.3119563745980913E-2</v>
      </c>
      <c r="E81" s="10">
        <f t="shared" si="4"/>
        <v>2.1300463623285117E-2</v>
      </c>
      <c r="F81" s="10">
        <f t="shared" si="4"/>
        <v>1.6291159088581836E-2</v>
      </c>
      <c r="G81" s="10">
        <f t="shared" si="4"/>
        <v>2.0658301771897026E-2</v>
      </c>
      <c r="H81" s="10">
        <f t="shared" si="4"/>
        <v>1.4115011136061369E-2</v>
      </c>
      <c r="I81" s="10">
        <f t="shared" si="4"/>
        <v>1.5626296237552118E-2</v>
      </c>
      <c r="J81" s="10">
        <f t="shared" si="4"/>
        <v>1.9091302431754466E-2</v>
      </c>
      <c r="K81" s="10">
        <f t="shared" si="4"/>
        <v>1.8836400858777382E-2</v>
      </c>
      <c r="L81" s="10">
        <f t="shared" si="4"/>
        <v>1.3826292096251885E-2</v>
      </c>
      <c r="M81" s="10">
        <f t="shared" si="4"/>
        <v>1.4671741546251385E-2</v>
      </c>
    </row>
    <row r="82" spans="1:13" x14ac:dyDescent="0.25">
      <c r="A82" s="4" t="s">
        <v>33</v>
      </c>
      <c r="B82" s="10">
        <f>3*B81</f>
        <v>5.1509856397804518E-2</v>
      </c>
      <c r="C82" s="10">
        <f t="shared" ref="C82:M82" si="5">3*C81</f>
        <v>3.6407938437509814E-2</v>
      </c>
      <c r="D82" s="10">
        <f t="shared" si="5"/>
        <v>3.9358691237942736E-2</v>
      </c>
      <c r="E82" s="10">
        <f t="shared" si="5"/>
        <v>6.3901390869855357E-2</v>
      </c>
      <c r="F82" s="10">
        <f t="shared" si="5"/>
        <v>4.8873477265745507E-2</v>
      </c>
      <c r="G82" s="10">
        <f t="shared" si="5"/>
        <v>6.1974905315691081E-2</v>
      </c>
      <c r="H82" s="10">
        <f t="shared" si="5"/>
        <v>4.2345033408184109E-2</v>
      </c>
      <c r="I82" s="10">
        <f t="shared" si="5"/>
        <v>4.6878888712656358E-2</v>
      </c>
      <c r="J82" s="10">
        <f t="shared" si="5"/>
        <v>5.7273907295263396E-2</v>
      </c>
      <c r="K82" s="10">
        <f t="shared" si="5"/>
        <v>5.6509202576332143E-2</v>
      </c>
      <c r="L82" s="10">
        <f t="shared" si="5"/>
        <v>4.1478876288755656E-2</v>
      </c>
      <c r="M82" s="10">
        <f t="shared" si="5"/>
        <v>4.4015224638754152E-2</v>
      </c>
    </row>
    <row r="83" spans="1:13" x14ac:dyDescent="0.25">
      <c r="A83" s="4" t="s">
        <v>34</v>
      </c>
      <c r="B83" s="11">
        <f>(2.12*1.03-B78)/B82</f>
        <v>1.2532044440941701</v>
      </c>
      <c r="C83" s="11">
        <f t="shared" ref="C83:M83" si="6">(2.12*1.03-C78)/C82</f>
        <v>1.7610480511635318</v>
      </c>
      <c r="D83" s="11">
        <f t="shared" si="6"/>
        <v>1.6542200581398294</v>
      </c>
      <c r="E83" s="11">
        <f t="shared" si="6"/>
        <v>1.0131681996518018</v>
      </c>
      <c r="F83" s="11">
        <f t="shared" si="6"/>
        <v>1.3350961973914393</v>
      </c>
      <c r="G83" s="11">
        <f t="shared" si="6"/>
        <v>1.0118790951219612</v>
      </c>
      <c r="H83" s="11">
        <f t="shared" si="6"/>
        <v>1.443101865861359</v>
      </c>
      <c r="I83" s="11">
        <f t="shared" si="6"/>
        <v>1.4325718653618496</v>
      </c>
      <c r="J83" s="11">
        <f t="shared" si="6"/>
        <v>1.0660878448307374</v>
      </c>
      <c r="K83" s="11">
        <f t="shared" si="6"/>
        <v>1.1945247192805699</v>
      </c>
      <c r="L83" s="11">
        <f t="shared" si="6"/>
        <v>1.4981356576287819</v>
      </c>
      <c r="M83" s="11">
        <f t="shared" si="6"/>
        <v>1.5312883338247645</v>
      </c>
    </row>
    <row r="84" spans="1:13" x14ac:dyDescent="0.25">
      <c r="A84" s="4" t="s">
        <v>35</v>
      </c>
      <c r="B84" s="11">
        <f>(B78-2.12*0.97)/B82</f>
        <v>1.2162258532386292</v>
      </c>
      <c r="C84" s="11">
        <f t="shared" ref="C84:M84" si="7">(C78-2.12*0.97)/C82</f>
        <v>1.7326954965060208</v>
      </c>
      <c r="D84" s="11">
        <f t="shared" si="7"/>
        <v>1.5775947202280121</v>
      </c>
      <c r="E84" s="11">
        <f t="shared" si="7"/>
        <v>0.97739880160583648</v>
      </c>
      <c r="F84" s="11">
        <f t="shared" si="7"/>
        <v>1.2675424343629718</v>
      </c>
      <c r="G84" s="11">
        <f t="shared" si="7"/>
        <v>1.0405645407668238</v>
      </c>
      <c r="H84" s="11">
        <f t="shared" si="7"/>
        <v>1.5607923281485578</v>
      </c>
      <c r="I84" s="11">
        <f t="shared" si="7"/>
        <v>1.2808030352180517</v>
      </c>
      <c r="J84" s="11">
        <f t="shared" si="7"/>
        <v>1.1548187775208296</v>
      </c>
      <c r="K84" s="11">
        <f t="shared" si="7"/>
        <v>1.0564360835759126</v>
      </c>
      <c r="L84" s="11">
        <f t="shared" si="7"/>
        <v>1.5684855091187451</v>
      </c>
      <c r="M84" s="11">
        <f t="shared" si="7"/>
        <v>1.3586208065685397</v>
      </c>
    </row>
    <row r="85" spans="1:13" ht="17.25" customHeight="1" x14ac:dyDescent="0.25">
      <c r="A85" s="4" t="s">
        <v>36</v>
      </c>
      <c r="B85" s="10">
        <f>MIN(B83,B84)</f>
        <v>1.2162258532386292</v>
      </c>
      <c r="C85" s="10">
        <f t="shared" ref="C85:M85" si="8">MIN(C83,C84)</f>
        <v>1.7326954965060208</v>
      </c>
      <c r="D85" s="10">
        <f t="shared" si="8"/>
        <v>1.5775947202280121</v>
      </c>
      <c r="E85" s="10">
        <f t="shared" si="8"/>
        <v>0.97739880160583648</v>
      </c>
      <c r="F85" s="10">
        <f t="shared" si="8"/>
        <v>1.2675424343629718</v>
      </c>
      <c r="G85" s="10">
        <f t="shared" si="8"/>
        <v>1.0118790951219612</v>
      </c>
      <c r="H85" s="10">
        <f t="shared" si="8"/>
        <v>1.443101865861359</v>
      </c>
      <c r="I85" s="10">
        <f t="shared" si="8"/>
        <v>1.2808030352180517</v>
      </c>
      <c r="J85" s="10">
        <f t="shared" si="8"/>
        <v>1.0660878448307374</v>
      </c>
      <c r="K85" s="10">
        <f t="shared" si="8"/>
        <v>1.0564360835759126</v>
      </c>
      <c r="L85" s="10">
        <f t="shared" si="8"/>
        <v>1.4981356576287819</v>
      </c>
      <c r="M85" s="10">
        <f t="shared" si="8"/>
        <v>1.3586208065685397</v>
      </c>
    </row>
    <row r="86" spans="1:13" ht="18.75" customHeight="1" x14ac:dyDescent="0.25">
      <c r="A86" s="1"/>
    </row>
    <row r="87" spans="1:13" ht="15.75" customHeight="1" x14ac:dyDescent="0.25">
      <c r="A87" s="1"/>
      <c r="B87" s="9" t="s">
        <v>31</v>
      </c>
      <c r="H87" s="9" t="s">
        <v>32</v>
      </c>
    </row>
    <row r="88" spans="1:13" ht="17.25" customHeight="1" x14ac:dyDescent="0.25">
      <c r="A88" s="1"/>
      <c r="H88" s="9"/>
    </row>
    <row r="89" spans="1:13" ht="16.5" customHeight="1" x14ac:dyDescent="0.25">
      <c r="A89" s="1"/>
    </row>
    <row r="90" spans="1:13" ht="15.75" customHeight="1" x14ac:dyDescent="0.25">
      <c r="A90" s="1"/>
    </row>
    <row r="91" spans="1:13" x14ac:dyDescent="0.25">
      <c r="A91" s="1"/>
    </row>
  </sheetData>
  <autoFilter ref="A2:M2" xr:uid="{00000000-0009-0000-0000-000000000000}">
    <sortState ref="A3:M73">
      <sortCondition ref="A2"/>
    </sortState>
  </autoFilter>
  <mergeCells count="1">
    <mergeCell ref="A1:M1"/>
  </mergeCells>
  <phoneticPr fontId="1" type="noConversion"/>
  <pageMargins left="0.25" right="0.25" top="0.75" bottom="0.75" header="0.3" footer="0.3"/>
  <pageSetup paperSize="9" fitToHeight="0" orientation="landscape" r:id="rId1"/>
  <headerFooter>
    <oddFooter>&amp;C第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CF91-6698-4F1F-939E-D2CD286E2489}">
  <dimension ref="A1:P145"/>
  <sheetViews>
    <sheetView topLeftCell="A130" workbookViewId="0">
      <selection activeCell="C3" sqref="C3:N145"/>
    </sheetView>
  </sheetViews>
  <sheetFormatPr defaultRowHeight="13.8" x14ac:dyDescent="0.25"/>
  <cols>
    <col min="1" max="1" width="12.21875" bestFit="1" customWidth="1"/>
  </cols>
  <sheetData>
    <row r="1" spans="1:16" x14ac:dyDescent="0.25">
      <c r="A1" t="s">
        <v>49</v>
      </c>
      <c r="B1" t="s">
        <v>48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 t="s">
        <v>45</v>
      </c>
    </row>
    <row r="2" spans="1:16" x14ac:dyDescent="0.25">
      <c r="A2" t="s">
        <v>52</v>
      </c>
      <c r="B2" s="28">
        <v>0.56265046296296295</v>
      </c>
      <c r="C2" s="29">
        <v>4.335</v>
      </c>
      <c r="D2" s="29">
        <v>3.9950000000000001</v>
      </c>
      <c r="E2" s="29">
        <v>4.2590000000000003</v>
      </c>
      <c r="F2" s="29">
        <v>3.8919999999999999</v>
      </c>
      <c r="G2" s="29">
        <v>3.9550000000000001</v>
      </c>
      <c r="H2" s="29">
        <v>4.2729999999999997</v>
      </c>
      <c r="I2" s="29">
        <v>3.7189999999999999</v>
      </c>
      <c r="J2" s="29">
        <v>4.1040000000000001</v>
      </c>
      <c r="K2" s="29">
        <v>3.9689999999999999</v>
      </c>
      <c r="L2" s="29">
        <v>3.79</v>
      </c>
      <c r="M2" s="29">
        <v>3.665</v>
      </c>
      <c r="N2" s="29">
        <v>3.7010000000000001</v>
      </c>
      <c r="O2" t="s">
        <v>46</v>
      </c>
      <c r="P2" t="s">
        <v>47</v>
      </c>
    </row>
    <row r="3" spans="1:16" x14ac:dyDescent="0.25">
      <c r="A3" t="s">
        <v>52</v>
      </c>
      <c r="B3" s="28">
        <v>0.56392361111111111</v>
      </c>
      <c r="C3">
        <v>5.0039999999999996</v>
      </c>
      <c r="D3">
        <v>5.0759999999999996</v>
      </c>
      <c r="E3">
        <v>4.9390000000000001</v>
      </c>
      <c r="F3">
        <v>4.9640000000000004</v>
      </c>
      <c r="G3">
        <v>4.9640000000000004</v>
      </c>
      <c r="H3">
        <v>4.952</v>
      </c>
      <c r="I3">
        <v>4.9420000000000002</v>
      </c>
      <c r="J3">
        <v>4.9000000000000004</v>
      </c>
      <c r="K3">
        <v>4.9400000000000004</v>
      </c>
      <c r="L3">
        <v>4.8869999999999996</v>
      </c>
      <c r="M3">
        <v>4.96</v>
      </c>
      <c r="N3">
        <v>4.93</v>
      </c>
      <c r="O3" t="s">
        <v>46</v>
      </c>
      <c r="P3" t="s">
        <v>47</v>
      </c>
    </row>
    <row r="4" spans="1:16" x14ac:dyDescent="0.25">
      <c r="A4" t="s">
        <v>52</v>
      </c>
      <c r="B4" s="28">
        <v>0.56512731481481482</v>
      </c>
      <c r="C4">
        <v>5.0449999999999999</v>
      </c>
      <c r="D4">
        <v>5.0190000000000001</v>
      </c>
      <c r="E4">
        <v>5.0110000000000001</v>
      </c>
      <c r="F4">
        <v>5.0149999999999997</v>
      </c>
      <c r="G4">
        <v>5.0190000000000001</v>
      </c>
      <c r="H4">
        <v>5</v>
      </c>
      <c r="I4">
        <v>5.024</v>
      </c>
      <c r="J4">
        <v>5.0810000000000004</v>
      </c>
      <c r="K4">
        <v>5.0279999999999996</v>
      </c>
      <c r="L4">
        <v>5.085</v>
      </c>
      <c r="M4">
        <v>5.0270000000000001</v>
      </c>
      <c r="N4">
        <v>4.9859999999999998</v>
      </c>
      <c r="O4" t="s">
        <v>46</v>
      </c>
      <c r="P4" t="s">
        <v>47</v>
      </c>
    </row>
    <row r="5" spans="1:16" x14ac:dyDescent="0.25">
      <c r="A5" t="s">
        <v>52</v>
      </c>
      <c r="B5" s="28">
        <v>0.56634259259259256</v>
      </c>
      <c r="C5">
        <v>5.0510000000000002</v>
      </c>
      <c r="D5">
        <v>5.0579999999999998</v>
      </c>
      <c r="E5">
        <v>5.0510000000000002</v>
      </c>
      <c r="F5">
        <v>5.0119999999999996</v>
      </c>
      <c r="G5">
        <v>5.0549999999999997</v>
      </c>
      <c r="H5">
        <v>5.01</v>
      </c>
      <c r="I5">
        <v>5.0279999999999996</v>
      </c>
      <c r="J5">
        <v>5.0359999999999996</v>
      </c>
      <c r="K5">
        <v>5.0540000000000003</v>
      </c>
      <c r="L5">
        <v>5.0629999999999997</v>
      </c>
      <c r="M5">
        <v>5.0460000000000003</v>
      </c>
      <c r="N5">
        <v>5.0389999999999997</v>
      </c>
      <c r="O5" t="s">
        <v>46</v>
      </c>
      <c r="P5" t="s">
        <v>47</v>
      </c>
    </row>
    <row r="6" spans="1:16" x14ac:dyDescent="0.25">
      <c r="A6" t="s">
        <v>52</v>
      </c>
      <c r="B6" s="28">
        <v>0.56755787037037042</v>
      </c>
      <c r="C6">
        <v>5.0759999999999996</v>
      </c>
      <c r="D6">
        <v>5.07</v>
      </c>
      <c r="E6">
        <v>5.0629999999999997</v>
      </c>
      <c r="F6">
        <v>5.0430000000000001</v>
      </c>
      <c r="G6">
        <v>5.0439999999999996</v>
      </c>
      <c r="H6">
        <v>5.032</v>
      </c>
      <c r="I6">
        <v>5.0119999999999996</v>
      </c>
      <c r="J6">
        <v>5.0049999999999999</v>
      </c>
      <c r="K6">
        <v>5.0810000000000004</v>
      </c>
      <c r="L6">
        <v>5.0590000000000002</v>
      </c>
      <c r="M6">
        <v>5.0510000000000002</v>
      </c>
      <c r="N6">
        <v>5.0380000000000003</v>
      </c>
      <c r="O6" t="s">
        <v>46</v>
      </c>
      <c r="P6" t="s">
        <v>47</v>
      </c>
    </row>
    <row r="7" spans="1:16" x14ac:dyDescent="0.25">
      <c r="A7" t="s">
        <v>52</v>
      </c>
      <c r="B7" s="28">
        <v>0.56877314814814817</v>
      </c>
      <c r="C7">
        <v>4.992</v>
      </c>
      <c r="D7">
        <v>4.9809999999999999</v>
      </c>
      <c r="E7">
        <v>4.9980000000000002</v>
      </c>
      <c r="F7">
        <v>5.0229999999999997</v>
      </c>
      <c r="G7">
        <v>4.9960000000000004</v>
      </c>
      <c r="H7">
        <v>5.0010000000000003</v>
      </c>
      <c r="I7">
        <v>4.976</v>
      </c>
      <c r="J7">
        <v>4.9729999999999999</v>
      </c>
      <c r="K7">
        <v>4.9790000000000001</v>
      </c>
      <c r="L7">
        <v>4.9889999999999999</v>
      </c>
      <c r="M7">
        <v>5.0140000000000002</v>
      </c>
      <c r="N7">
        <v>5.0170000000000003</v>
      </c>
      <c r="O7" t="s">
        <v>46</v>
      </c>
      <c r="P7" t="s">
        <v>47</v>
      </c>
    </row>
    <row r="8" spans="1:16" x14ac:dyDescent="0.25">
      <c r="A8" t="s">
        <v>52</v>
      </c>
      <c r="B8" s="28">
        <v>0.56998842592592591</v>
      </c>
      <c r="C8">
        <v>4.9909999999999997</v>
      </c>
      <c r="D8">
        <v>4.9930000000000003</v>
      </c>
      <c r="E8">
        <v>5.0049999999999999</v>
      </c>
      <c r="F8">
        <v>5.0129999999999999</v>
      </c>
      <c r="G8">
        <v>5.0250000000000004</v>
      </c>
      <c r="H8">
        <v>4.9980000000000002</v>
      </c>
      <c r="I8">
        <v>4.9850000000000003</v>
      </c>
      <c r="J8">
        <v>5</v>
      </c>
      <c r="K8">
        <v>5.0010000000000003</v>
      </c>
      <c r="L8">
        <v>4.9710000000000001</v>
      </c>
      <c r="M8">
        <v>5.0030000000000001</v>
      </c>
      <c r="N8">
        <v>4.9779999999999998</v>
      </c>
      <c r="O8" t="s">
        <v>46</v>
      </c>
      <c r="P8" t="s">
        <v>47</v>
      </c>
    </row>
    <row r="9" spans="1:16" x14ac:dyDescent="0.25">
      <c r="A9" t="s">
        <v>52</v>
      </c>
      <c r="B9" s="28">
        <v>0.57120370370370377</v>
      </c>
      <c r="C9">
        <v>5.0140000000000002</v>
      </c>
      <c r="D9">
        <v>5.0010000000000003</v>
      </c>
      <c r="E9">
        <v>4.9969999999999999</v>
      </c>
      <c r="F9">
        <v>5.0259999999999998</v>
      </c>
      <c r="G9">
        <v>5.0140000000000002</v>
      </c>
      <c r="H9">
        <v>4.9909999999999997</v>
      </c>
      <c r="I9">
        <v>5.0170000000000003</v>
      </c>
      <c r="J9">
        <v>4.9969999999999999</v>
      </c>
      <c r="K9">
        <v>5.0309999999999997</v>
      </c>
      <c r="L9">
        <v>5.0149999999999997</v>
      </c>
      <c r="M9">
        <v>4.9850000000000003</v>
      </c>
      <c r="N9">
        <v>5.0010000000000003</v>
      </c>
      <c r="O9" t="s">
        <v>46</v>
      </c>
      <c r="P9" t="s">
        <v>47</v>
      </c>
    </row>
    <row r="10" spans="1:16" x14ac:dyDescent="0.25">
      <c r="A10" t="s">
        <v>52</v>
      </c>
      <c r="B10" s="28">
        <v>0.57241898148148151</v>
      </c>
      <c r="C10">
        <v>5.0030000000000001</v>
      </c>
      <c r="D10">
        <v>4.9880000000000004</v>
      </c>
      <c r="E10">
        <v>4.9980000000000002</v>
      </c>
      <c r="F10">
        <v>4.9850000000000003</v>
      </c>
      <c r="G10">
        <v>4.9740000000000002</v>
      </c>
      <c r="H10">
        <v>4.9820000000000002</v>
      </c>
      <c r="O10" t="s">
        <v>46</v>
      </c>
      <c r="P10" t="s">
        <v>47</v>
      </c>
    </row>
    <row r="11" spans="1:16" x14ac:dyDescent="0.25">
      <c r="A11" t="s">
        <v>52</v>
      </c>
      <c r="B11" s="28">
        <v>0.57395833333333335</v>
      </c>
      <c r="C11">
        <v>4.9880000000000004</v>
      </c>
      <c r="D11">
        <v>4.9980000000000002</v>
      </c>
      <c r="E11">
        <v>5.01</v>
      </c>
      <c r="F11">
        <v>4.9640000000000004</v>
      </c>
      <c r="G11">
        <v>5.0190000000000001</v>
      </c>
      <c r="H11">
        <v>4.976</v>
      </c>
      <c r="I11">
        <v>5.0199999999999996</v>
      </c>
      <c r="J11">
        <v>4.9790000000000001</v>
      </c>
      <c r="K11">
        <v>5.0199999999999996</v>
      </c>
      <c r="L11">
        <v>4.9870000000000001</v>
      </c>
      <c r="M11">
        <v>4.952</v>
      </c>
      <c r="N11">
        <v>4.992</v>
      </c>
      <c r="O11" t="s">
        <v>46</v>
      </c>
      <c r="P11" t="s">
        <v>47</v>
      </c>
    </row>
    <row r="12" spans="1:16" x14ac:dyDescent="0.25">
      <c r="A12" t="s">
        <v>52</v>
      </c>
      <c r="B12" s="28">
        <v>0.57517361111111109</v>
      </c>
      <c r="C12">
        <v>5.0170000000000003</v>
      </c>
      <c r="D12">
        <v>5.008</v>
      </c>
      <c r="E12">
        <v>5.0190000000000001</v>
      </c>
      <c r="F12">
        <v>4.9729999999999999</v>
      </c>
      <c r="G12">
        <v>4.992</v>
      </c>
      <c r="H12">
        <v>5.0110000000000001</v>
      </c>
      <c r="I12">
        <v>5.0010000000000003</v>
      </c>
      <c r="J12">
        <v>5.0209999999999999</v>
      </c>
      <c r="K12">
        <v>4.9850000000000003</v>
      </c>
      <c r="L12">
        <v>5.008</v>
      </c>
      <c r="M12">
        <v>4.976</v>
      </c>
      <c r="N12">
        <v>5.0110000000000001</v>
      </c>
      <c r="O12" t="s">
        <v>46</v>
      </c>
      <c r="P12" t="s">
        <v>47</v>
      </c>
    </row>
    <row r="13" spans="1:16" x14ac:dyDescent="0.25">
      <c r="A13" t="s">
        <v>52</v>
      </c>
      <c r="B13" s="28">
        <v>0.57638888888888895</v>
      </c>
      <c r="C13">
        <v>5.008</v>
      </c>
      <c r="D13">
        <v>5.016</v>
      </c>
      <c r="E13">
        <v>4.9749999999999996</v>
      </c>
      <c r="F13">
        <v>4.9969999999999999</v>
      </c>
      <c r="G13">
        <v>5.0119999999999996</v>
      </c>
      <c r="H13">
        <v>5.0090000000000003</v>
      </c>
      <c r="I13">
        <v>4.9850000000000003</v>
      </c>
      <c r="J13">
        <v>5.016</v>
      </c>
      <c r="K13">
        <v>5</v>
      </c>
      <c r="L13">
        <v>5.0060000000000002</v>
      </c>
      <c r="M13">
        <v>4.9710000000000001</v>
      </c>
      <c r="N13">
        <v>4.97</v>
      </c>
      <c r="O13" t="s">
        <v>46</v>
      </c>
      <c r="P13" t="s">
        <v>47</v>
      </c>
    </row>
    <row r="14" spans="1:16" x14ac:dyDescent="0.25">
      <c r="A14" t="s">
        <v>52</v>
      </c>
      <c r="B14" s="28">
        <v>0.57946759259259262</v>
      </c>
      <c r="I14">
        <v>4.9569999999999999</v>
      </c>
      <c r="J14">
        <v>4.9649999999999999</v>
      </c>
      <c r="K14">
        <v>4.99</v>
      </c>
      <c r="L14">
        <v>4.9960000000000004</v>
      </c>
      <c r="M14">
        <v>4.9749999999999996</v>
      </c>
      <c r="N14">
        <v>4.9660000000000002</v>
      </c>
      <c r="O14" t="s">
        <v>46</v>
      </c>
      <c r="P14" t="s">
        <v>47</v>
      </c>
    </row>
    <row r="15" spans="1:16" x14ac:dyDescent="0.25">
      <c r="A15" t="s">
        <v>52</v>
      </c>
      <c r="B15" s="28">
        <v>0.58006944444444442</v>
      </c>
      <c r="C15">
        <v>5.0259999999999998</v>
      </c>
      <c r="D15">
        <v>5.0049999999999999</v>
      </c>
      <c r="E15">
        <v>4.9640000000000004</v>
      </c>
      <c r="F15">
        <v>5</v>
      </c>
      <c r="G15">
        <v>4.9969999999999999</v>
      </c>
      <c r="H15">
        <v>4.9640000000000004</v>
      </c>
      <c r="O15" t="s">
        <v>46</v>
      </c>
      <c r="P15" t="s">
        <v>47</v>
      </c>
    </row>
    <row r="16" spans="1:16" x14ac:dyDescent="0.25">
      <c r="A16" t="s">
        <v>52</v>
      </c>
      <c r="B16" s="28">
        <v>0.58199074074074075</v>
      </c>
      <c r="I16">
        <v>4.9539999999999997</v>
      </c>
      <c r="J16">
        <v>4.952</v>
      </c>
      <c r="K16">
        <v>5.01</v>
      </c>
      <c r="L16">
        <v>4.9859999999999998</v>
      </c>
      <c r="M16">
        <v>4.952</v>
      </c>
      <c r="N16">
        <v>4.9320000000000004</v>
      </c>
      <c r="O16" t="s">
        <v>46</v>
      </c>
      <c r="P16" t="s">
        <v>47</v>
      </c>
    </row>
    <row r="17" spans="1:16" x14ac:dyDescent="0.25">
      <c r="A17" t="s">
        <v>52</v>
      </c>
      <c r="B17" s="28">
        <v>0.58259259259259266</v>
      </c>
      <c r="C17">
        <v>4.9480000000000004</v>
      </c>
      <c r="D17">
        <v>4.9779999999999998</v>
      </c>
      <c r="E17">
        <v>4.9400000000000004</v>
      </c>
      <c r="F17">
        <v>4.9930000000000003</v>
      </c>
      <c r="G17">
        <v>5.0049999999999999</v>
      </c>
      <c r="H17">
        <v>4.9640000000000004</v>
      </c>
      <c r="I17">
        <v>5.0110000000000001</v>
      </c>
      <c r="J17">
        <v>4.99</v>
      </c>
      <c r="K17">
        <v>5.0199999999999996</v>
      </c>
      <c r="L17">
        <v>4.9870000000000001</v>
      </c>
      <c r="M17">
        <v>4.9729999999999999</v>
      </c>
      <c r="N17">
        <v>4.9740000000000002</v>
      </c>
      <c r="O17" t="s">
        <v>46</v>
      </c>
      <c r="P17" t="s">
        <v>47</v>
      </c>
    </row>
    <row r="18" spans="1:16" x14ac:dyDescent="0.25">
      <c r="A18" t="s">
        <v>52</v>
      </c>
      <c r="B18" s="28">
        <v>0.5838078703703703</v>
      </c>
      <c r="C18">
        <v>4.9269999999999996</v>
      </c>
      <c r="D18">
        <v>4.9669999999999996</v>
      </c>
      <c r="E18">
        <v>4.9160000000000004</v>
      </c>
      <c r="F18">
        <v>4.9930000000000003</v>
      </c>
      <c r="G18">
        <v>4.9580000000000002</v>
      </c>
      <c r="H18">
        <v>4.9420000000000002</v>
      </c>
      <c r="I18">
        <v>5.0270000000000001</v>
      </c>
      <c r="J18">
        <v>5.0140000000000002</v>
      </c>
      <c r="K18">
        <v>5.032</v>
      </c>
      <c r="L18">
        <v>4.9749999999999996</v>
      </c>
      <c r="M18">
        <v>5</v>
      </c>
      <c r="N18">
        <v>4.976</v>
      </c>
      <c r="O18" t="s">
        <v>46</v>
      </c>
      <c r="P18" t="s">
        <v>47</v>
      </c>
    </row>
    <row r="19" spans="1:16" x14ac:dyDescent="0.25">
      <c r="A19" t="s">
        <v>52</v>
      </c>
      <c r="B19" s="28">
        <v>0.58502314814814815</v>
      </c>
      <c r="C19">
        <v>4.9610000000000003</v>
      </c>
      <c r="D19">
        <v>5.0110000000000001</v>
      </c>
      <c r="E19">
        <v>4.9459999999999997</v>
      </c>
      <c r="F19">
        <v>4.9980000000000002</v>
      </c>
      <c r="G19">
        <v>4.9359999999999999</v>
      </c>
      <c r="H19">
        <v>4.9889999999999999</v>
      </c>
      <c r="I19">
        <v>5.0149999999999997</v>
      </c>
      <c r="J19">
        <v>5.0199999999999996</v>
      </c>
      <c r="K19">
        <v>4.992</v>
      </c>
      <c r="L19">
        <v>4.968</v>
      </c>
      <c r="M19">
        <v>5.0279999999999996</v>
      </c>
      <c r="N19">
        <v>5.0350000000000001</v>
      </c>
      <c r="O19" t="s">
        <v>46</v>
      </c>
      <c r="P19" t="s">
        <v>47</v>
      </c>
    </row>
    <row r="20" spans="1:16" x14ac:dyDescent="0.25">
      <c r="A20" t="s">
        <v>52</v>
      </c>
      <c r="B20" s="28">
        <v>0.586400462962963</v>
      </c>
      <c r="C20">
        <v>4.99</v>
      </c>
      <c r="D20">
        <v>5.024</v>
      </c>
      <c r="E20">
        <v>4.9740000000000002</v>
      </c>
      <c r="F20">
        <v>5.0380000000000003</v>
      </c>
      <c r="G20">
        <v>4.9169999999999998</v>
      </c>
      <c r="H20">
        <v>4.9859999999999998</v>
      </c>
      <c r="I20">
        <v>4.9880000000000004</v>
      </c>
      <c r="J20">
        <v>5.016</v>
      </c>
      <c r="K20">
        <v>4.9969999999999999</v>
      </c>
      <c r="L20">
        <v>4.952</v>
      </c>
      <c r="M20">
        <v>5.0289999999999999</v>
      </c>
      <c r="N20">
        <v>5.0330000000000004</v>
      </c>
      <c r="O20" t="s">
        <v>46</v>
      </c>
      <c r="P20" t="s">
        <v>47</v>
      </c>
    </row>
    <row r="21" spans="1:16" x14ac:dyDescent="0.25">
      <c r="A21" t="s">
        <v>52</v>
      </c>
      <c r="B21" s="28">
        <v>0.58761574074074074</v>
      </c>
      <c r="C21">
        <v>4.9790000000000001</v>
      </c>
      <c r="D21">
        <v>4.968</v>
      </c>
      <c r="E21">
        <v>4.9749999999999996</v>
      </c>
      <c r="F21">
        <v>4.9909999999999997</v>
      </c>
      <c r="G21">
        <v>4.9800000000000004</v>
      </c>
      <c r="H21">
        <v>4.9770000000000003</v>
      </c>
      <c r="I21">
        <v>4.9950000000000001</v>
      </c>
      <c r="J21">
        <v>5.0259999999999998</v>
      </c>
      <c r="K21">
        <v>5</v>
      </c>
      <c r="L21">
        <v>4.9800000000000004</v>
      </c>
      <c r="M21">
        <v>5.0049999999999999</v>
      </c>
      <c r="N21">
        <v>5.008</v>
      </c>
      <c r="O21" t="s">
        <v>46</v>
      </c>
      <c r="P21" t="s">
        <v>47</v>
      </c>
    </row>
    <row r="22" spans="1:16" x14ac:dyDescent="0.25">
      <c r="A22" t="s">
        <v>52</v>
      </c>
      <c r="B22" s="28">
        <v>0.58883101851851849</v>
      </c>
      <c r="C22">
        <v>5.0110000000000001</v>
      </c>
      <c r="D22">
        <v>4.976</v>
      </c>
      <c r="E22">
        <v>4.9589999999999996</v>
      </c>
      <c r="F22">
        <v>5.0209999999999999</v>
      </c>
      <c r="G22">
        <v>5.0270000000000001</v>
      </c>
      <c r="H22">
        <v>4.9770000000000003</v>
      </c>
      <c r="I22">
        <v>4.9610000000000003</v>
      </c>
      <c r="J22">
        <v>4.9950000000000001</v>
      </c>
      <c r="K22">
        <v>4.9729999999999999</v>
      </c>
      <c r="L22">
        <v>4.96</v>
      </c>
      <c r="M22">
        <v>4.9820000000000002</v>
      </c>
      <c r="N22">
        <v>4.9870000000000001</v>
      </c>
      <c r="O22" t="s">
        <v>46</v>
      </c>
      <c r="P22" t="s">
        <v>47</v>
      </c>
    </row>
    <row r="23" spans="1:16" x14ac:dyDescent="0.25">
      <c r="A23" t="s">
        <v>52</v>
      </c>
      <c r="B23" s="28">
        <v>0.59004629629629635</v>
      </c>
      <c r="C23">
        <v>4.9729999999999999</v>
      </c>
      <c r="D23">
        <v>4.9770000000000003</v>
      </c>
      <c r="E23">
        <v>4.9859999999999998</v>
      </c>
      <c r="F23">
        <v>5.0060000000000002</v>
      </c>
      <c r="G23">
        <v>4.97</v>
      </c>
      <c r="H23">
        <v>5.0039999999999996</v>
      </c>
      <c r="I23">
        <v>5.0209999999999999</v>
      </c>
      <c r="J23">
        <v>5.008</v>
      </c>
      <c r="K23">
        <v>5.008</v>
      </c>
      <c r="L23">
        <v>5.0289999999999999</v>
      </c>
      <c r="M23">
        <v>5.0090000000000003</v>
      </c>
      <c r="N23">
        <v>5.024</v>
      </c>
      <c r="O23" t="s">
        <v>46</v>
      </c>
      <c r="P23" t="s">
        <v>47</v>
      </c>
    </row>
    <row r="24" spans="1:16" x14ac:dyDescent="0.25">
      <c r="A24" t="s">
        <v>52</v>
      </c>
      <c r="B24" s="28">
        <v>0.59126157407407409</v>
      </c>
      <c r="C24">
        <v>4.9749999999999996</v>
      </c>
      <c r="D24">
        <v>4.95</v>
      </c>
      <c r="E24">
        <v>4.95</v>
      </c>
      <c r="F24">
        <v>4.9800000000000004</v>
      </c>
      <c r="G24">
        <v>4.96</v>
      </c>
      <c r="H24">
        <v>4.9939999999999998</v>
      </c>
      <c r="I24">
        <v>4.9809999999999999</v>
      </c>
      <c r="J24">
        <v>4.9800000000000004</v>
      </c>
      <c r="K24">
        <v>5.0060000000000002</v>
      </c>
      <c r="L24">
        <v>4.976</v>
      </c>
      <c r="M24">
        <v>4.9779999999999998</v>
      </c>
      <c r="N24">
        <v>4.984</v>
      </c>
      <c r="O24" t="s">
        <v>46</v>
      </c>
      <c r="P24" t="s">
        <v>47</v>
      </c>
    </row>
    <row r="25" spans="1:16" x14ac:dyDescent="0.25">
      <c r="A25" t="s">
        <v>52</v>
      </c>
      <c r="B25" s="28">
        <v>0.59247685185185184</v>
      </c>
      <c r="C25">
        <v>5.008</v>
      </c>
      <c r="D25">
        <v>4.9930000000000003</v>
      </c>
      <c r="E25">
        <v>4.976</v>
      </c>
      <c r="F25">
        <v>5</v>
      </c>
      <c r="G25">
        <v>5.0309999999999997</v>
      </c>
      <c r="H25">
        <v>5.0010000000000003</v>
      </c>
      <c r="I25">
        <v>4.9580000000000002</v>
      </c>
      <c r="J25">
        <v>4.9749999999999996</v>
      </c>
      <c r="K25">
        <v>4.9509999999999996</v>
      </c>
      <c r="L25">
        <v>4.9829999999999997</v>
      </c>
      <c r="M25">
        <v>4.95</v>
      </c>
      <c r="N25">
        <v>4.9649999999999999</v>
      </c>
      <c r="O25" t="s">
        <v>46</v>
      </c>
      <c r="P25" t="s">
        <v>47</v>
      </c>
    </row>
    <row r="26" spans="1:16" x14ac:dyDescent="0.25">
      <c r="A26" t="s">
        <v>52</v>
      </c>
      <c r="B26" s="28">
        <v>0.59369212962962969</v>
      </c>
      <c r="C26">
        <v>5.0049999999999999</v>
      </c>
      <c r="D26">
        <v>5.0030000000000001</v>
      </c>
      <c r="E26">
        <v>5.0229999999999997</v>
      </c>
      <c r="F26">
        <v>5.0039999999999996</v>
      </c>
      <c r="G26">
        <v>5.0449999999999999</v>
      </c>
      <c r="H26">
        <v>4.9909999999999997</v>
      </c>
      <c r="I26">
        <v>4.992</v>
      </c>
      <c r="J26">
        <v>5</v>
      </c>
      <c r="K26">
        <v>4.992</v>
      </c>
      <c r="L26">
        <v>5.0359999999999996</v>
      </c>
      <c r="M26">
        <v>4.9950000000000001</v>
      </c>
      <c r="N26">
        <v>5.0090000000000003</v>
      </c>
      <c r="O26" t="s">
        <v>46</v>
      </c>
      <c r="P26" t="s">
        <v>47</v>
      </c>
    </row>
    <row r="27" spans="1:16" x14ac:dyDescent="0.25">
      <c r="A27" t="s">
        <v>52</v>
      </c>
      <c r="B27" s="28">
        <v>0.59506944444444443</v>
      </c>
      <c r="C27">
        <v>5</v>
      </c>
      <c r="D27">
        <v>4.9909999999999997</v>
      </c>
      <c r="E27">
        <v>4.9960000000000004</v>
      </c>
      <c r="F27">
        <v>4.9850000000000003</v>
      </c>
      <c r="G27">
        <v>5.0270000000000001</v>
      </c>
      <c r="H27">
        <v>5.0199999999999996</v>
      </c>
      <c r="I27">
        <v>4.9939999999999998</v>
      </c>
      <c r="J27">
        <v>4.9720000000000004</v>
      </c>
      <c r="K27">
        <v>4.9749999999999996</v>
      </c>
      <c r="L27">
        <v>4.9630000000000001</v>
      </c>
      <c r="M27">
        <v>4.96</v>
      </c>
      <c r="N27">
        <v>4.9939999999999998</v>
      </c>
      <c r="O27" t="s">
        <v>46</v>
      </c>
      <c r="P27" t="s">
        <v>47</v>
      </c>
    </row>
    <row r="28" spans="1:16" x14ac:dyDescent="0.25">
      <c r="A28" t="s">
        <v>52</v>
      </c>
      <c r="B28" s="28">
        <v>0.59628472222222217</v>
      </c>
      <c r="C28">
        <v>4.984</v>
      </c>
      <c r="D28">
        <v>4.9939999999999998</v>
      </c>
      <c r="E28">
        <v>4.9960000000000004</v>
      </c>
      <c r="F28">
        <v>5.0039999999999996</v>
      </c>
      <c r="G28">
        <v>4.9880000000000004</v>
      </c>
      <c r="H28">
        <v>4.9960000000000004</v>
      </c>
      <c r="I28">
        <v>5.01</v>
      </c>
      <c r="J28">
        <v>4.9859999999999998</v>
      </c>
      <c r="K28">
        <v>5.024</v>
      </c>
      <c r="L28">
        <v>5.01</v>
      </c>
      <c r="M28">
        <v>4.9950000000000001</v>
      </c>
      <c r="N28">
        <v>5.0030000000000001</v>
      </c>
      <c r="O28" t="s">
        <v>46</v>
      </c>
      <c r="P28" t="s">
        <v>47</v>
      </c>
    </row>
    <row r="29" spans="1:16" x14ac:dyDescent="0.25">
      <c r="A29" t="s">
        <v>52</v>
      </c>
      <c r="B29" s="28">
        <v>0.59750000000000003</v>
      </c>
      <c r="C29">
        <v>5.0039999999999996</v>
      </c>
      <c r="D29">
        <v>5</v>
      </c>
      <c r="E29">
        <v>5.0330000000000004</v>
      </c>
      <c r="F29">
        <v>4.9850000000000003</v>
      </c>
      <c r="G29">
        <v>4.99</v>
      </c>
      <c r="H29">
        <v>4.9790000000000001</v>
      </c>
      <c r="I29">
        <v>5.0149999999999997</v>
      </c>
      <c r="J29">
        <v>5.0149999999999997</v>
      </c>
      <c r="K29">
        <v>4.9960000000000004</v>
      </c>
      <c r="L29">
        <v>5.0350000000000001</v>
      </c>
      <c r="M29">
        <v>4.9930000000000003</v>
      </c>
      <c r="N29">
        <v>5.0220000000000002</v>
      </c>
      <c r="O29" t="s">
        <v>46</v>
      </c>
      <c r="P29" t="s">
        <v>47</v>
      </c>
    </row>
    <row r="30" spans="1:16" x14ac:dyDescent="0.25">
      <c r="A30" t="s">
        <v>52</v>
      </c>
      <c r="B30" s="28">
        <v>0.59871527777777778</v>
      </c>
      <c r="C30">
        <v>4.992</v>
      </c>
      <c r="D30">
        <v>5</v>
      </c>
      <c r="E30">
        <v>5.016</v>
      </c>
      <c r="F30">
        <v>4.9880000000000004</v>
      </c>
      <c r="G30">
        <v>4.9829999999999997</v>
      </c>
      <c r="H30">
        <v>4.9809999999999999</v>
      </c>
      <c r="I30">
        <v>5.0090000000000003</v>
      </c>
      <c r="J30">
        <v>5.0110000000000001</v>
      </c>
      <c r="K30">
        <v>5.0140000000000002</v>
      </c>
      <c r="L30">
        <v>5.032</v>
      </c>
      <c r="M30">
        <v>4.9960000000000004</v>
      </c>
      <c r="N30">
        <v>4.9989999999999997</v>
      </c>
      <c r="O30" t="s">
        <v>46</v>
      </c>
      <c r="P30" t="s">
        <v>47</v>
      </c>
    </row>
    <row r="31" spans="1:16" x14ac:dyDescent="0.25">
      <c r="A31" t="s">
        <v>52</v>
      </c>
      <c r="B31" s="28">
        <v>0.59991898148148148</v>
      </c>
      <c r="C31">
        <v>5.0110000000000001</v>
      </c>
      <c r="D31">
        <v>4.9939999999999998</v>
      </c>
      <c r="E31">
        <v>4.968</v>
      </c>
      <c r="F31">
        <v>5.0090000000000003</v>
      </c>
      <c r="G31">
        <v>5.0519999999999996</v>
      </c>
      <c r="H31">
        <v>5.0110000000000001</v>
      </c>
      <c r="I31">
        <v>4.9960000000000004</v>
      </c>
      <c r="J31">
        <v>5</v>
      </c>
      <c r="K31">
        <v>4.9850000000000003</v>
      </c>
      <c r="L31">
        <v>4.9969999999999999</v>
      </c>
      <c r="M31">
        <v>4.9859999999999998</v>
      </c>
      <c r="N31">
        <v>4.9820000000000002</v>
      </c>
      <c r="O31" t="s">
        <v>46</v>
      </c>
      <c r="P31" t="s">
        <v>47</v>
      </c>
    </row>
    <row r="32" spans="1:16" x14ac:dyDescent="0.25">
      <c r="A32" t="s">
        <v>52</v>
      </c>
      <c r="B32" s="28">
        <v>0.60113425925925923</v>
      </c>
      <c r="C32">
        <v>4.9960000000000004</v>
      </c>
      <c r="D32">
        <v>5.0199999999999996</v>
      </c>
      <c r="E32">
        <v>4.9790000000000001</v>
      </c>
      <c r="F32">
        <v>4.9960000000000004</v>
      </c>
      <c r="G32">
        <v>5.0250000000000004</v>
      </c>
      <c r="H32">
        <v>5.0019999999999998</v>
      </c>
      <c r="I32">
        <v>4.9749999999999996</v>
      </c>
      <c r="J32">
        <v>4.9800000000000004</v>
      </c>
      <c r="K32">
        <v>5</v>
      </c>
      <c r="L32">
        <v>4.9539999999999997</v>
      </c>
      <c r="M32">
        <v>4.9880000000000004</v>
      </c>
      <c r="N32">
        <v>4.9660000000000002</v>
      </c>
      <c r="O32" t="s">
        <v>46</v>
      </c>
      <c r="P32" t="s">
        <v>47</v>
      </c>
    </row>
    <row r="33" spans="1:16" x14ac:dyDescent="0.25">
      <c r="A33" t="s">
        <v>52</v>
      </c>
      <c r="B33" s="28">
        <v>0.60234953703703698</v>
      </c>
      <c r="C33">
        <v>5.0060000000000002</v>
      </c>
      <c r="D33">
        <v>4.9969999999999999</v>
      </c>
      <c r="E33">
        <v>5.0410000000000004</v>
      </c>
      <c r="F33">
        <v>4.984</v>
      </c>
      <c r="G33">
        <v>5.0270000000000001</v>
      </c>
      <c r="H33">
        <v>4.9960000000000004</v>
      </c>
      <c r="I33">
        <v>5.0010000000000003</v>
      </c>
      <c r="J33">
        <v>4.9989999999999997</v>
      </c>
      <c r="K33">
        <v>5.0129999999999999</v>
      </c>
      <c r="L33">
        <v>5.0350000000000001</v>
      </c>
      <c r="M33">
        <v>5.0250000000000004</v>
      </c>
      <c r="N33">
        <v>5.0049999999999999</v>
      </c>
      <c r="O33" t="s">
        <v>46</v>
      </c>
      <c r="P33" t="s">
        <v>47</v>
      </c>
    </row>
    <row r="34" spans="1:16" x14ac:dyDescent="0.25">
      <c r="A34" t="s">
        <v>52</v>
      </c>
      <c r="B34" s="28">
        <v>0.60427083333333331</v>
      </c>
      <c r="I34">
        <v>4.9809999999999999</v>
      </c>
      <c r="J34">
        <v>4.9950000000000001</v>
      </c>
      <c r="K34">
        <v>5.0049999999999999</v>
      </c>
      <c r="L34">
        <v>5.0049999999999999</v>
      </c>
      <c r="M34">
        <v>5.0289999999999999</v>
      </c>
      <c r="N34">
        <v>4.99</v>
      </c>
      <c r="O34" t="s">
        <v>46</v>
      </c>
      <c r="P34" t="s">
        <v>47</v>
      </c>
    </row>
    <row r="35" spans="1:16" x14ac:dyDescent="0.25">
      <c r="A35" t="s">
        <v>52</v>
      </c>
      <c r="B35" s="28">
        <v>0.60487268518518522</v>
      </c>
      <c r="C35">
        <v>5.024</v>
      </c>
      <c r="D35">
        <v>5.0069999999999997</v>
      </c>
      <c r="E35">
        <v>5.0129999999999999</v>
      </c>
      <c r="F35">
        <v>4.9950000000000001</v>
      </c>
      <c r="G35">
        <v>5.0030000000000001</v>
      </c>
      <c r="H35">
        <v>4.9939999999999998</v>
      </c>
      <c r="I35">
        <v>4.99</v>
      </c>
      <c r="J35">
        <v>4.9809999999999999</v>
      </c>
      <c r="K35">
        <v>4.9790000000000001</v>
      </c>
      <c r="L35">
        <v>4.9889999999999999</v>
      </c>
      <c r="M35">
        <v>4.9569999999999999</v>
      </c>
      <c r="N35">
        <v>4.9939999999999998</v>
      </c>
      <c r="O35" t="s">
        <v>46</v>
      </c>
      <c r="P35" t="s">
        <v>47</v>
      </c>
    </row>
    <row r="36" spans="1:16" x14ac:dyDescent="0.25">
      <c r="A36" t="s">
        <v>52</v>
      </c>
      <c r="B36" s="28">
        <v>0.60608796296296297</v>
      </c>
      <c r="C36">
        <v>4.952</v>
      </c>
      <c r="D36">
        <v>4.9779999999999998</v>
      </c>
      <c r="E36">
        <v>4.9660000000000002</v>
      </c>
      <c r="F36">
        <v>4.9489999999999998</v>
      </c>
      <c r="G36">
        <v>4.931</v>
      </c>
      <c r="H36">
        <v>4.952</v>
      </c>
      <c r="I36">
        <v>4.9809999999999999</v>
      </c>
      <c r="J36">
        <v>5.0039999999999996</v>
      </c>
      <c r="K36">
        <v>4.9820000000000002</v>
      </c>
      <c r="L36">
        <v>4.9729999999999999</v>
      </c>
      <c r="M36">
        <v>4.9820000000000002</v>
      </c>
      <c r="N36">
        <v>4.9939999999999998</v>
      </c>
      <c r="O36" t="s">
        <v>46</v>
      </c>
      <c r="P36" t="s">
        <v>47</v>
      </c>
    </row>
    <row r="37" spans="1:16" x14ac:dyDescent="0.25">
      <c r="A37" t="s">
        <v>52</v>
      </c>
      <c r="B37" s="28">
        <v>0.60730324074074071</v>
      </c>
      <c r="C37">
        <v>4.9640000000000004</v>
      </c>
      <c r="D37">
        <v>4.9850000000000003</v>
      </c>
      <c r="E37">
        <v>4.9649999999999999</v>
      </c>
      <c r="F37">
        <v>4.9939999999999998</v>
      </c>
      <c r="G37">
        <v>4.9459999999999997</v>
      </c>
      <c r="H37">
        <v>4.9829999999999997</v>
      </c>
      <c r="I37">
        <v>5.0460000000000003</v>
      </c>
      <c r="J37">
        <v>5.008</v>
      </c>
      <c r="K37">
        <v>5.032</v>
      </c>
      <c r="L37">
        <v>5.0259999999999998</v>
      </c>
      <c r="M37">
        <v>5.0419999999999998</v>
      </c>
      <c r="N37">
        <v>5.0439999999999996</v>
      </c>
      <c r="O37" t="s">
        <v>46</v>
      </c>
      <c r="P37" t="s">
        <v>47</v>
      </c>
    </row>
    <row r="38" spans="1:16" x14ac:dyDescent="0.25">
      <c r="A38" t="s">
        <v>52</v>
      </c>
      <c r="B38" s="28">
        <v>0.60851851851851857</v>
      </c>
      <c r="C38">
        <v>5.0380000000000003</v>
      </c>
      <c r="D38">
        <v>5.01</v>
      </c>
      <c r="E38">
        <v>5.0140000000000002</v>
      </c>
      <c r="F38">
        <v>5.0149999999999997</v>
      </c>
      <c r="G38">
        <v>5.0439999999999996</v>
      </c>
      <c r="H38">
        <v>5.0220000000000002</v>
      </c>
      <c r="I38">
        <v>5.048</v>
      </c>
      <c r="J38">
        <v>5.0229999999999997</v>
      </c>
      <c r="K38">
        <v>5.016</v>
      </c>
      <c r="L38">
        <v>5.016</v>
      </c>
      <c r="M38">
        <v>5.0199999999999996</v>
      </c>
      <c r="N38">
        <v>5.0039999999999996</v>
      </c>
      <c r="O38" t="s">
        <v>46</v>
      </c>
      <c r="P38" t="s">
        <v>47</v>
      </c>
    </row>
    <row r="39" spans="1:16" x14ac:dyDescent="0.25">
      <c r="A39" t="s">
        <v>52</v>
      </c>
      <c r="B39" s="28">
        <v>0.60973379629629632</v>
      </c>
      <c r="C39">
        <v>5.024</v>
      </c>
      <c r="D39">
        <v>5.0279999999999996</v>
      </c>
      <c r="E39">
        <v>5.008</v>
      </c>
      <c r="F39">
        <v>4.9980000000000002</v>
      </c>
      <c r="G39">
        <v>5.0229999999999997</v>
      </c>
      <c r="H39">
        <v>5.0410000000000004</v>
      </c>
      <c r="I39">
        <v>4.9379999999999997</v>
      </c>
      <c r="J39">
        <v>4.97</v>
      </c>
      <c r="K39">
        <v>4.9729999999999999</v>
      </c>
      <c r="L39">
        <v>4.9269999999999996</v>
      </c>
      <c r="M39">
        <v>4.9249999999999998</v>
      </c>
      <c r="N39">
        <v>4.9370000000000003</v>
      </c>
      <c r="O39" t="s">
        <v>46</v>
      </c>
      <c r="P39" t="s">
        <v>47</v>
      </c>
    </row>
    <row r="40" spans="1:16" x14ac:dyDescent="0.25">
      <c r="A40" t="s">
        <v>52</v>
      </c>
      <c r="B40" s="28">
        <v>0.61128472222222219</v>
      </c>
      <c r="C40">
        <v>4.9749999999999996</v>
      </c>
      <c r="D40">
        <v>4.9909999999999997</v>
      </c>
      <c r="E40">
        <v>4.9710000000000001</v>
      </c>
      <c r="F40">
        <v>4.9960000000000004</v>
      </c>
      <c r="G40">
        <v>4.9880000000000004</v>
      </c>
      <c r="H40">
        <v>4.976</v>
      </c>
      <c r="I40">
        <v>4.9569999999999999</v>
      </c>
      <c r="J40">
        <v>4.9800000000000004</v>
      </c>
      <c r="K40">
        <v>4.9989999999999997</v>
      </c>
      <c r="L40">
        <v>4.9539999999999997</v>
      </c>
      <c r="M40">
        <v>4.97</v>
      </c>
      <c r="N40">
        <v>4.9829999999999997</v>
      </c>
      <c r="O40" t="s">
        <v>46</v>
      </c>
      <c r="P40" t="s">
        <v>47</v>
      </c>
    </row>
    <row r="41" spans="1:16" x14ac:dyDescent="0.25">
      <c r="A41" t="s">
        <v>52</v>
      </c>
      <c r="B41" s="28">
        <v>0.61249999999999993</v>
      </c>
      <c r="C41">
        <v>4.992</v>
      </c>
      <c r="D41">
        <v>4.992</v>
      </c>
      <c r="E41">
        <v>4.9870000000000001</v>
      </c>
      <c r="F41">
        <v>4.9950000000000001</v>
      </c>
      <c r="G41">
        <v>4.9649999999999999</v>
      </c>
      <c r="H41">
        <v>4.9459999999999997</v>
      </c>
      <c r="I41">
        <v>5.0119999999999996</v>
      </c>
      <c r="J41">
        <v>4.9980000000000002</v>
      </c>
      <c r="K41">
        <v>5.0010000000000003</v>
      </c>
      <c r="L41">
        <v>5.0010000000000003</v>
      </c>
      <c r="M41">
        <v>4.9850000000000003</v>
      </c>
      <c r="N41">
        <v>5</v>
      </c>
      <c r="O41" t="s">
        <v>46</v>
      </c>
      <c r="P41" t="s">
        <v>47</v>
      </c>
    </row>
    <row r="42" spans="1:16" x14ac:dyDescent="0.25">
      <c r="A42" t="s">
        <v>52</v>
      </c>
      <c r="B42" s="28">
        <v>0.61371527777777779</v>
      </c>
      <c r="C42">
        <v>5.0019999999999998</v>
      </c>
      <c r="D42">
        <v>4.9889999999999999</v>
      </c>
      <c r="E42">
        <v>5.0270000000000001</v>
      </c>
      <c r="F42">
        <v>4.9880000000000004</v>
      </c>
      <c r="G42">
        <v>5.0090000000000003</v>
      </c>
      <c r="H42">
        <v>4.9980000000000002</v>
      </c>
      <c r="I42">
        <v>4.9969999999999999</v>
      </c>
      <c r="J42">
        <v>5.0209999999999999</v>
      </c>
      <c r="K42">
        <v>5.0149999999999997</v>
      </c>
      <c r="L42">
        <v>5.0069999999999997</v>
      </c>
      <c r="M42">
        <v>4.9889999999999999</v>
      </c>
      <c r="N42">
        <v>5.0069999999999997</v>
      </c>
      <c r="O42" t="s">
        <v>46</v>
      </c>
      <c r="P42" t="s">
        <v>47</v>
      </c>
    </row>
    <row r="43" spans="1:16" x14ac:dyDescent="0.25">
      <c r="A43" t="s">
        <v>52</v>
      </c>
      <c r="B43" s="28">
        <v>0.61493055555555554</v>
      </c>
      <c r="C43">
        <v>4.9749999999999996</v>
      </c>
      <c r="D43">
        <v>4.9880000000000004</v>
      </c>
      <c r="E43">
        <v>4.9989999999999997</v>
      </c>
      <c r="F43">
        <v>4.9969999999999999</v>
      </c>
      <c r="G43">
        <v>4.9770000000000003</v>
      </c>
      <c r="H43">
        <v>4.976</v>
      </c>
      <c r="I43">
        <v>4.9950000000000001</v>
      </c>
      <c r="J43">
        <v>5.008</v>
      </c>
      <c r="K43">
        <v>5.0110000000000001</v>
      </c>
      <c r="L43">
        <v>5.0060000000000002</v>
      </c>
      <c r="M43">
        <v>4.9960000000000004</v>
      </c>
      <c r="N43">
        <v>4.992</v>
      </c>
      <c r="O43" t="s">
        <v>46</v>
      </c>
      <c r="P43" t="s">
        <v>47</v>
      </c>
    </row>
    <row r="44" spans="1:16" x14ac:dyDescent="0.25">
      <c r="A44" t="s">
        <v>52</v>
      </c>
      <c r="B44" s="28">
        <v>0.61614583333333328</v>
      </c>
      <c r="C44">
        <v>5.0220000000000002</v>
      </c>
      <c r="D44">
        <v>5.0309999999999997</v>
      </c>
      <c r="E44">
        <v>5.0090000000000003</v>
      </c>
      <c r="F44">
        <v>4.9960000000000004</v>
      </c>
      <c r="G44">
        <v>5.032</v>
      </c>
      <c r="H44">
        <v>5.0209999999999999</v>
      </c>
      <c r="I44">
        <v>4.9950000000000001</v>
      </c>
      <c r="J44">
        <v>5.0250000000000004</v>
      </c>
      <c r="K44">
        <v>5.0060000000000002</v>
      </c>
      <c r="L44">
        <v>4.99</v>
      </c>
      <c r="M44">
        <v>5.0149999999999997</v>
      </c>
      <c r="N44">
        <v>4.9960000000000004</v>
      </c>
      <c r="O44" t="s">
        <v>46</v>
      </c>
      <c r="P44" t="s">
        <v>47</v>
      </c>
    </row>
    <row r="45" spans="1:16" x14ac:dyDescent="0.25">
      <c r="A45" t="s">
        <v>52</v>
      </c>
      <c r="B45" s="28">
        <v>0.61736111111111114</v>
      </c>
      <c r="C45">
        <v>5.0129999999999999</v>
      </c>
      <c r="D45">
        <v>5.0129999999999999</v>
      </c>
      <c r="E45">
        <v>4.9809999999999999</v>
      </c>
      <c r="F45">
        <v>5.0350000000000001</v>
      </c>
      <c r="G45">
        <v>5.0330000000000004</v>
      </c>
      <c r="H45">
        <v>4.9960000000000004</v>
      </c>
      <c r="I45">
        <v>5.0140000000000002</v>
      </c>
      <c r="J45">
        <v>5.0049999999999999</v>
      </c>
      <c r="K45">
        <v>5.0060000000000002</v>
      </c>
      <c r="L45">
        <v>5.0119999999999996</v>
      </c>
      <c r="M45">
        <v>5.0149999999999997</v>
      </c>
      <c r="N45">
        <v>4.9989999999999997</v>
      </c>
      <c r="O45" t="s">
        <v>46</v>
      </c>
      <c r="P45" t="s">
        <v>47</v>
      </c>
    </row>
    <row r="46" spans="1:16" x14ac:dyDescent="0.25">
      <c r="A46" t="s">
        <v>52</v>
      </c>
      <c r="B46" s="28">
        <v>0.61857638888888888</v>
      </c>
      <c r="C46">
        <v>4.9950000000000001</v>
      </c>
      <c r="D46">
        <v>4.9980000000000002</v>
      </c>
      <c r="E46">
        <v>4.9870000000000001</v>
      </c>
      <c r="F46">
        <v>4.9989999999999997</v>
      </c>
      <c r="G46">
        <v>4.9630000000000001</v>
      </c>
      <c r="H46">
        <v>5.0030000000000001</v>
      </c>
      <c r="I46">
        <v>4.9909999999999997</v>
      </c>
      <c r="J46">
        <v>4.9800000000000004</v>
      </c>
      <c r="K46">
        <v>4.9480000000000004</v>
      </c>
      <c r="L46">
        <v>5.0010000000000003</v>
      </c>
      <c r="M46">
        <v>4.9939999999999998</v>
      </c>
      <c r="N46">
        <v>4.992</v>
      </c>
      <c r="O46" t="s">
        <v>46</v>
      </c>
      <c r="P46" t="s">
        <v>47</v>
      </c>
    </row>
    <row r="47" spans="1:16" x14ac:dyDescent="0.25">
      <c r="A47" t="s">
        <v>52</v>
      </c>
      <c r="B47" s="28">
        <v>0.61979166666666663</v>
      </c>
      <c r="C47">
        <v>5.008</v>
      </c>
      <c r="D47">
        <v>4.9960000000000004</v>
      </c>
      <c r="E47">
        <v>5.0179999999999998</v>
      </c>
      <c r="F47">
        <v>4.9770000000000003</v>
      </c>
      <c r="G47">
        <v>4.9379999999999997</v>
      </c>
      <c r="H47">
        <v>4.9930000000000003</v>
      </c>
      <c r="I47">
        <v>5.01</v>
      </c>
      <c r="J47">
        <v>5.0039999999999996</v>
      </c>
      <c r="K47">
        <v>4.9660000000000002</v>
      </c>
      <c r="L47">
        <v>5.0209999999999999</v>
      </c>
      <c r="M47">
        <v>5.0330000000000004</v>
      </c>
      <c r="N47">
        <v>5.0270000000000001</v>
      </c>
      <c r="O47" t="s">
        <v>46</v>
      </c>
      <c r="P47" t="s">
        <v>47</v>
      </c>
    </row>
    <row r="48" spans="1:16" x14ac:dyDescent="0.25">
      <c r="A48" t="s">
        <v>52</v>
      </c>
      <c r="B48" s="28">
        <v>0.62100694444444449</v>
      </c>
      <c r="C48">
        <v>4.9630000000000001</v>
      </c>
      <c r="D48">
        <v>4.9770000000000003</v>
      </c>
      <c r="E48">
        <v>4.9870000000000001</v>
      </c>
      <c r="F48">
        <v>4.9779999999999998</v>
      </c>
      <c r="G48">
        <v>4.992</v>
      </c>
      <c r="H48">
        <v>4.9660000000000002</v>
      </c>
      <c r="I48">
        <v>5.0110000000000001</v>
      </c>
      <c r="J48">
        <v>5.0199999999999996</v>
      </c>
      <c r="K48">
        <v>4.9800000000000004</v>
      </c>
      <c r="L48">
        <v>5.0190000000000001</v>
      </c>
      <c r="M48">
        <v>5.0250000000000004</v>
      </c>
      <c r="N48">
        <v>5.024</v>
      </c>
      <c r="O48" t="s">
        <v>46</v>
      </c>
      <c r="P48" t="s">
        <v>47</v>
      </c>
    </row>
    <row r="49" spans="1:16" x14ac:dyDescent="0.25">
      <c r="A49" t="s">
        <v>52</v>
      </c>
      <c r="B49" s="28">
        <v>0.6227893518518518</v>
      </c>
      <c r="C49">
        <v>4.9960000000000004</v>
      </c>
      <c r="D49">
        <v>5.0069999999999997</v>
      </c>
      <c r="E49">
        <v>5.0069999999999997</v>
      </c>
      <c r="F49">
        <v>5.016</v>
      </c>
      <c r="G49">
        <v>5.0199999999999996</v>
      </c>
      <c r="H49">
        <v>5.024</v>
      </c>
      <c r="I49">
        <v>4.9710000000000001</v>
      </c>
      <c r="J49">
        <v>4.9690000000000003</v>
      </c>
      <c r="K49">
        <v>5.0060000000000002</v>
      </c>
      <c r="L49">
        <v>4.9870000000000001</v>
      </c>
      <c r="M49">
        <v>4.976</v>
      </c>
      <c r="N49">
        <v>4.9829999999999997</v>
      </c>
      <c r="O49" t="s">
        <v>46</v>
      </c>
      <c r="P49" t="s">
        <v>47</v>
      </c>
    </row>
    <row r="50" spans="1:16" x14ac:dyDescent="0.25">
      <c r="A50" t="s">
        <v>52</v>
      </c>
      <c r="B50" s="28">
        <v>0.62400462962962966</v>
      </c>
      <c r="C50">
        <v>4.9969999999999999</v>
      </c>
      <c r="D50">
        <v>5.0049999999999999</v>
      </c>
      <c r="E50">
        <v>4.9800000000000004</v>
      </c>
      <c r="F50">
        <v>4.9889999999999999</v>
      </c>
      <c r="G50">
        <v>4.9749999999999996</v>
      </c>
      <c r="H50">
        <v>4.9909999999999997</v>
      </c>
      <c r="I50">
        <v>4.976</v>
      </c>
      <c r="J50">
        <v>4.9820000000000002</v>
      </c>
      <c r="K50">
        <v>5.0060000000000002</v>
      </c>
      <c r="L50">
        <v>4.9619999999999997</v>
      </c>
      <c r="M50">
        <v>4.95</v>
      </c>
      <c r="N50">
        <v>4.97</v>
      </c>
      <c r="O50" t="s">
        <v>46</v>
      </c>
      <c r="P50" t="s">
        <v>47</v>
      </c>
    </row>
    <row r="51" spans="1:16" x14ac:dyDescent="0.25">
      <c r="A51" t="s">
        <v>52</v>
      </c>
      <c r="B51" s="28">
        <v>0.6252199074074074</v>
      </c>
      <c r="C51">
        <v>5.0229999999999997</v>
      </c>
      <c r="D51">
        <v>5.0199999999999996</v>
      </c>
      <c r="E51">
        <v>4.9989999999999997</v>
      </c>
      <c r="F51">
        <v>5.0199999999999996</v>
      </c>
      <c r="G51">
        <v>5.0119999999999996</v>
      </c>
      <c r="H51">
        <v>5.0430000000000001</v>
      </c>
      <c r="I51">
        <v>5.0330000000000004</v>
      </c>
      <c r="J51">
        <v>5.0039999999999996</v>
      </c>
      <c r="K51">
        <v>5.0069999999999997</v>
      </c>
      <c r="L51">
        <v>5.0119999999999996</v>
      </c>
      <c r="M51">
        <v>4.9969999999999999</v>
      </c>
      <c r="N51">
        <v>4.992</v>
      </c>
      <c r="O51" t="s">
        <v>46</v>
      </c>
      <c r="P51" t="s">
        <v>47</v>
      </c>
    </row>
    <row r="52" spans="1:16" x14ac:dyDescent="0.25">
      <c r="A52" t="s">
        <v>52</v>
      </c>
      <c r="B52" s="28">
        <v>0.62643518518518515</v>
      </c>
      <c r="C52">
        <v>4.9930000000000003</v>
      </c>
      <c r="D52">
        <v>4.9889999999999999</v>
      </c>
      <c r="E52">
        <v>5.0039999999999996</v>
      </c>
      <c r="F52">
        <v>5.0149999999999997</v>
      </c>
      <c r="G52">
        <v>5.0039999999999996</v>
      </c>
      <c r="H52">
        <v>4.9649999999999999</v>
      </c>
      <c r="I52">
        <v>5.0229999999999997</v>
      </c>
      <c r="J52">
        <v>5.0090000000000003</v>
      </c>
      <c r="K52">
        <v>5.0069999999999997</v>
      </c>
      <c r="L52">
        <v>5.0220000000000002</v>
      </c>
      <c r="M52">
        <v>5.0010000000000003</v>
      </c>
      <c r="N52">
        <v>5.0039999999999996</v>
      </c>
      <c r="O52" t="s">
        <v>46</v>
      </c>
      <c r="P52" t="s">
        <v>47</v>
      </c>
    </row>
    <row r="53" spans="1:16" x14ac:dyDescent="0.25">
      <c r="A53" t="s">
        <v>52</v>
      </c>
      <c r="B53" s="28">
        <v>0.62763888888888886</v>
      </c>
      <c r="C53">
        <v>4.9989999999999997</v>
      </c>
      <c r="D53">
        <v>4.9790000000000001</v>
      </c>
      <c r="E53">
        <v>5.0259999999999998</v>
      </c>
      <c r="F53">
        <v>4.9880000000000004</v>
      </c>
      <c r="G53">
        <v>4.9980000000000002</v>
      </c>
      <c r="H53">
        <v>4.9800000000000004</v>
      </c>
      <c r="I53">
        <v>4.9889999999999999</v>
      </c>
      <c r="J53">
        <v>5.0110000000000001</v>
      </c>
      <c r="K53">
        <v>4.9870000000000001</v>
      </c>
      <c r="L53">
        <v>4.9930000000000003</v>
      </c>
      <c r="M53">
        <v>5.0069999999999997</v>
      </c>
      <c r="N53">
        <v>4.9809999999999999</v>
      </c>
      <c r="O53" t="s">
        <v>46</v>
      </c>
      <c r="P53" t="s">
        <v>47</v>
      </c>
    </row>
    <row r="54" spans="1:16" x14ac:dyDescent="0.25">
      <c r="A54" t="s">
        <v>52</v>
      </c>
      <c r="B54" s="28">
        <v>0.6288541666666666</v>
      </c>
      <c r="C54">
        <v>5.0030000000000001</v>
      </c>
      <c r="D54">
        <v>5.0069999999999997</v>
      </c>
      <c r="E54">
        <v>4.992</v>
      </c>
      <c r="F54">
        <v>4.9870000000000001</v>
      </c>
      <c r="G54">
        <v>5.0570000000000004</v>
      </c>
      <c r="H54">
        <v>5.0279999999999996</v>
      </c>
      <c r="I54">
        <v>4.9880000000000004</v>
      </c>
      <c r="J54">
        <v>4.9960000000000004</v>
      </c>
      <c r="K54">
        <v>4.9950000000000001</v>
      </c>
      <c r="L54">
        <v>4.9790000000000001</v>
      </c>
      <c r="M54">
        <v>4.9770000000000003</v>
      </c>
      <c r="N54">
        <v>5.0030000000000001</v>
      </c>
      <c r="O54" t="s">
        <v>46</v>
      </c>
      <c r="P54" t="s">
        <v>47</v>
      </c>
    </row>
    <row r="55" spans="1:16" x14ac:dyDescent="0.25">
      <c r="A55" t="s">
        <v>52</v>
      </c>
      <c r="B55" s="28">
        <v>0.63006944444444446</v>
      </c>
      <c r="C55">
        <v>4.9939999999999998</v>
      </c>
      <c r="D55">
        <v>5.0090000000000003</v>
      </c>
      <c r="E55">
        <v>5.0369999999999999</v>
      </c>
      <c r="F55">
        <v>5.01</v>
      </c>
      <c r="G55">
        <v>5.0350000000000001</v>
      </c>
      <c r="H55">
        <v>5.0289999999999999</v>
      </c>
      <c r="I55">
        <v>4.9960000000000004</v>
      </c>
      <c r="J55">
        <v>4.9820000000000002</v>
      </c>
      <c r="K55">
        <v>4.9969999999999999</v>
      </c>
      <c r="L55">
        <v>4.9770000000000003</v>
      </c>
      <c r="M55">
        <v>4.9790000000000001</v>
      </c>
      <c r="N55">
        <v>4.97</v>
      </c>
      <c r="O55" t="s">
        <v>46</v>
      </c>
      <c r="P55" t="s">
        <v>47</v>
      </c>
    </row>
    <row r="56" spans="1:16" x14ac:dyDescent="0.25">
      <c r="A56" t="s">
        <v>52</v>
      </c>
      <c r="B56" s="28">
        <v>0.63128472222222221</v>
      </c>
      <c r="C56">
        <v>4.9960000000000004</v>
      </c>
      <c r="D56">
        <v>5.024</v>
      </c>
      <c r="E56">
        <v>4.9960000000000004</v>
      </c>
      <c r="F56">
        <v>5.0199999999999996</v>
      </c>
      <c r="G56">
        <v>4.976</v>
      </c>
      <c r="H56">
        <v>4.9640000000000004</v>
      </c>
      <c r="I56">
        <v>4.9779999999999998</v>
      </c>
      <c r="J56">
        <v>4.9980000000000002</v>
      </c>
      <c r="K56">
        <v>5.0060000000000002</v>
      </c>
      <c r="L56">
        <v>5.0060000000000002</v>
      </c>
      <c r="M56">
        <v>4.9859999999999998</v>
      </c>
      <c r="N56">
        <v>4.9939999999999998</v>
      </c>
      <c r="O56" t="s">
        <v>46</v>
      </c>
      <c r="P56" t="s">
        <v>47</v>
      </c>
    </row>
    <row r="57" spans="1:16" x14ac:dyDescent="0.25">
      <c r="A57" t="s">
        <v>52</v>
      </c>
      <c r="B57" s="28">
        <v>0.63249999999999995</v>
      </c>
      <c r="C57">
        <v>5.0069999999999997</v>
      </c>
      <c r="D57">
        <v>4.9779999999999998</v>
      </c>
      <c r="E57">
        <v>4.976</v>
      </c>
      <c r="F57">
        <v>5.008</v>
      </c>
      <c r="G57">
        <v>4.9939999999999998</v>
      </c>
      <c r="H57">
        <v>4.9960000000000004</v>
      </c>
      <c r="I57">
        <v>5.0049999999999999</v>
      </c>
      <c r="J57">
        <v>4.9930000000000003</v>
      </c>
      <c r="K57">
        <v>4.9889999999999999</v>
      </c>
      <c r="L57">
        <v>5.0220000000000002</v>
      </c>
      <c r="M57">
        <v>5.01</v>
      </c>
      <c r="N57">
        <v>5</v>
      </c>
      <c r="O57" t="s">
        <v>46</v>
      </c>
      <c r="P57" t="s">
        <v>47</v>
      </c>
    </row>
    <row r="58" spans="1:16" x14ac:dyDescent="0.25">
      <c r="A58" t="s">
        <v>52</v>
      </c>
      <c r="B58" s="28">
        <v>0.63390046296296299</v>
      </c>
      <c r="C58">
        <v>4.9960000000000004</v>
      </c>
      <c r="D58">
        <v>4.9829999999999997</v>
      </c>
      <c r="E58">
        <v>4.9790000000000001</v>
      </c>
      <c r="F58">
        <v>4.9870000000000001</v>
      </c>
      <c r="G58">
        <v>4.984</v>
      </c>
      <c r="H58">
        <v>4.99</v>
      </c>
      <c r="I58">
        <v>5.01</v>
      </c>
      <c r="J58">
        <v>5.0129999999999999</v>
      </c>
      <c r="K58">
        <v>5.0179999999999998</v>
      </c>
      <c r="L58">
        <v>5.0119999999999996</v>
      </c>
      <c r="M58">
        <v>5.01</v>
      </c>
      <c r="N58">
        <v>5.0090000000000003</v>
      </c>
      <c r="O58" t="s">
        <v>46</v>
      </c>
      <c r="P58" t="s">
        <v>47</v>
      </c>
    </row>
    <row r="59" spans="1:16" x14ac:dyDescent="0.25">
      <c r="A59" t="s">
        <v>52</v>
      </c>
      <c r="B59" s="28">
        <v>0.63511574074074073</v>
      </c>
      <c r="C59">
        <v>5.0140000000000002</v>
      </c>
      <c r="D59">
        <v>5</v>
      </c>
      <c r="E59">
        <v>5.01</v>
      </c>
      <c r="F59">
        <v>4.9630000000000001</v>
      </c>
      <c r="G59">
        <v>5.0039999999999996</v>
      </c>
      <c r="H59">
        <v>5.0140000000000002</v>
      </c>
      <c r="I59">
        <v>5.0039999999999996</v>
      </c>
      <c r="J59">
        <v>5.0090000000000003</v>
      </c>
      <c r="K59">
        <v>5.0220000000000002</v>
      </c>
      <c r="L59">
        <v>4.9980000000000002</v>
      </c>
      <c r="M59">
        <v>5.0410000000000004</v>
      </c>
      <c r="N59">
        <v>5.0069999999999997</v>
      </c>
      <c r="O59" t="s">
        <v>46</v>
      </c>
      <c r="P59" t="s">
        <v>47</v>
      </c>
    </row>
    <row r="60" spans="1:16" x14ac:dyDescent="0.25">
      <c r="A60" t="s">
        <v>52</v>
      </c>
      <c r="B60" s="28">
        <v>0.63633101851851859</v>
      </c>
      <c r="C60">
        <v>5.0039999999999996</v>
      </c>
      <c r="D60">
        <v>5.024</v>
      </c>
      <c r="E60">
        <v>5.0289999999999999</v>
      </c>
      <c r="F60">
        <v>5.0019999999999998</v>
      </c>
      <c r="G60">
        <v>4.9960000000000004</v>
      </c>
      <c r="H60">
        <v>5.0069999999999997</v>
      </c>
      <c r="I60">
        <v>4.99</v>
      </c>
      <c r="J60">
        <v>4.9939999999999998</v>
      </c>
      <c r="K60">
        <v>4.9939999999999998</v>
      </c>
      <c r="L60">
        <v>4.9589999999999996</v>
      </c>
      <c r="M60">
        <v>4.9690000000000003</v>
      </c>
      <c r="N60">
        <v>5.008</v>
      </c>
      <c r="O60" t="s">
        <v>46</v>
      </c>
      <c r="P60" t="s">
        <v>47</v>
      </c>
    </row>
    <row r="61" spans="1:16" x14ac:dyDescent="0.25">
      <c r="A61" t="s">
        <v>52</v>
      </c>
      <c r="B61" s="28">
        <v>0.63754629629629633</v>
      </c>
      <c r="C61">
        <v>5.0090000000000003</v>
      </c>
      <c r="D61">
        <v>5.0289999999999999</v>
      </c>
      <c r="E61">
        <v>5.0519999999999996</v>
      </c>
      <c r="F61">
        <v>5.0129999999999999</v>
      </c>
      <c r="G61">
        <v>5.0090000000000003</v>
      </c>
      <c r="H61">
        <v>4.984</v>
      </c>
      <c r="I61">
        <v>4.984</v>
      </c>
      <c r="J61">
        <v>4.9969999999999999</v>
      </c>
      <c r="K61">
        <v>4.99</v>
      </c>
      <c r="L61">
        <v>5.0119999999999996</v>
      </c>
      <c r="M61">
        <v>4.9880000000000004</v>
      </c>
      <c r="N61">
        <v>5.0110000000000001</v>
      </c>
      <c r="O61" t="s">
        <v>46</v>
      </c>
      <c r="P61" t="s">
        <v>47</v>
      </c>
    </row>
    <row r="62" spans="1:16" x14ac:dyDescent="0.25">
      <c r="A62" t="s">
        <v>52</v>
      </c>
      <c r="B62" s="28">
        <v>0.63876157407407408</v>
      </c>
      <c r="C62">
        <v>4.9930000000000003</v>
      </c>
      <c r="D62">
        <v>4.9889999999999999</v>
      </c>
      <c r="E62">
        <v>4.9729999999999999</v>
      </c>
      <c r="F62">
        <v>4.9740000000000002</v>
      </c>
      <c r="G62">
        <v>4.9930000000000003</v>
      </c>
      <c r="H62">
        <v>5.008</v>
      </c>
      <c r="I62">
        <v>4.9950000000000001</v>
      </c>
      <c r="J62">
        <v>4.9969999999999999</v>
      </c>
      <c r="K62">
        <v>4.9909999999999997</v>
      </c>
      <c r="L62">
        <v>5.016</v>
      </c>
      <c r="M62">
        <v>5.0119999999999996</v>
      </c>
      <c r="N62">
        <v>5.0179999999999998</v>
      </c>
      <c r="O62" t="s">
        <v>46</v>
      </c>
      <c r="P62" t="s">
        <v>47</v>
      </c>
    </row>
    <row r="63" spans="1:16" x14ac:dyDescent="0.25">
      <c r="A63" t="s">
        <v>52</v>
      </c>
      <c r="B63" s="28">
        <v>0.63997685185185182</v>
      </c>
      <c r="C63">
        <v>4.9909999999999997</v>
      </c>
      <c r="D63">
        <v>4.9809999999999999</v>
      </c>
      <c r="E63">
        <v>4.96</v>
      </c>
      <c r="F63">
        <v>4.9619999999999997</v>
      </c>
      <c r="G63">
        <v>4.96</v>
      </c>
      <c r="H63">
        <v>5.0129999999999999</v>
      </c>
      <c r="I63">
        <v>4.9930000000000003</v>
      </c>
      <c r="J63">
        <v>4.9950000000000001</v>
      </c>
      <c r="K63">
        <v>5.0149999999999997</v>
      </c>
      <c r="L63">
        <v>4.992</v>
      </c>
      <c r="M63">
        <v>5.016</v>
      </c>
      <c r="N63">
        <v>4.9880000000000004</v>
      </c>
      <c r="O63" t="s">
        <v>46</v>
      </c>
      <c r="P63" t="s">
        <v>47</v>
      </c>
    </row>
    <row r="64" spans="1:16" x14ac:dyDescent="0.25">
      <c r="A64" t="s">
        <v>52</v>
      </c>
      <c r="B64" s="28">
        <v>0.64119212962962957</v>
      </c>
      <c r="C64">
        <v>4.9960000000000004</v>
      </c>
      <c r="D64">
        <v>4.992</v>
      </c>
      <c r="E64">
        <v>5.0090000000000003</v>
      </c>
      <c r="F64">
        <v>5.0380000000000003</v>
      </c>
      <c r="G64">
        <v>5.024</v>
      </c>
      <c r="H64">
        <v>4.968</v>
      </c>
      <c r="I64">
        <v>5.0119999999999996</v>
      </c>
      <c r="J64">
        <v>5.0279999999999996</v>
      </c>
      <c r="K64">
        <v>4.9980000000000002</v>
      </c>
      <c r="L64">
        <v>4.9989999999999997</v>
      </c>
      <c r="M64">
        <v>5</v>
      </c>
      <c r="N64">
        <v>5.0039999999999996</v>
      </c>
      <c r="O64" t="s">
        <v>46</v>
      </c>
      <c r="P64" t="s">
        <v>47</v>
      </c>
    </row>
    <row r="65" spans="1:16" x14ac:dyDescent="0.25">
      <c r="A65" t="s">
        <v>52</v>
      </c>
      <c r="B65" s="28">
        <v>0.64240740740740743</v>
      </c>
      <c r="C65">
        <v>5.0069999999999997</v>
      </c>
      <c r="D65">
        <v>4.9829999999999997</v>
      </c>
      <c r="E65">
        <v>5.016</v>
      </c>
      <c r="F65">
        <v>5.0339999999999998</v>
      </c>
      <c r="G65">
        <v>5.0090000000000003</v>
      </c>
      <c r="H65">
        <v>5.0039999999999996</v>
      </c>
      <c r="I65">
        <v>4.99</v>
      </c>
      <c r="J65">
        <v>4.9960000000000004</v>
      </c>
      <c r="K65">
        <v>4.99</v>
      </c>
      <c r="L65">
        <v>4.9930000000000003</v>
      </c>
      <c r="M65">
        <v>5.0110000000000001</v>
      </c>
      <c r="N65">
        <v>4.9820000000000002</v>
      </c>
      <c r="O65" t="s">
        <v>46</v>
      </c>
      <c r="P65" t="s">
        <v>47</v>
      </c>
    </row>
    <row r="66" spans="1:16" x14ac:dyDescent="0.25">
      <c r="A66" t="s">
        <v>52</v>
      </c>
      <c r="B66" s="28">
        <v>0.64362268518518517</v>
      </c>
      <c r="C66">
        <v>4.9889999999999999</v>
      </c>
      <c r="D66">
        <v>4.9880000000000004</v>
      </c>
      <c r="E66">
        <v>4.9820000000000002</v>
      </c>
      <c r="F66">
        <v>5.0060000000000002</v>
      </c>
      <c r="G66">
        <v>5.0039999999999996</v>
      </c>
      <c r="H66">
        <v>5.0110000000000001</v>
      </c>
      <c r="O66" t="s">
        <v>46</v>
      </c>
      <c r="P66" t="s">
        <v>47</v>
      </c>
    </row>
    <row r="67" spans="1:16" x14ac:dyDescent="0.25">
      <c r="A67" t="s">
        <v>52</v>
      </c>
      <c r="B67" s="28">
        <v>0.64491898148148141</v>
      </c>
      <c r="C67">
        <v>4.9800000000000004</v>
      </c>
      <c r="D67">
        <v>4.9939999999999998</v>
      </c>
      <c r="E67">
        <v>4.9580000000000002</v>
      </c>
      <c r="F67">
        <v>4.9729999999999999</v>
      </c>
      <c r="G67">
        <v>4.9969999999999999</v>
      </c>
      <c r="H67">
        <v>5.0069999999999997</v>
      </c>
      <c r="I67">
        <v>5.0179999999999998</v>
      </c>
      <c r="J67">
        <v>4.9779999999999998</v>
      </c>
      <c r="K67">
        <v>4.984</v>
      </c>
      <c r="L67">
        <v>5.0270000000000001</v>
      </c>
      <c r="M67">
        <v>5.0259999999999998</v>
      </c>
      <c r="N67">
        <v>5.016</v>
      </c>
      <c r="O67" t="s">
        <v>46</v>
      </c>
      <c r="P67" t="s">
        <v>47</v>
      </c>
    </row>
    <row r="68" spans="1:16" x14ac:dyDescent="0.25">
      <c r="A68" t="s">
        <v>52</v>
      </c>
      <c r="B68" s="28">
        <v>0.64613425925925927</v>
      </c>
      <c r="C68">
        <v>5.0149999999999997</v>
      </c>
      <c r="D68">
        <v>5.0259999999999998</v>
      </c>
      <c r="E68">
        <v>5.0309999999999997</v>
      </c>
      <c r="F68">
        <v>4.992</v>
      </c>
      <c r="G68">
        <v>5.0110000000000001</v>
      </c>
      <c r="H68">
        <v>4.9850000000000003</v>
      </c>
      <c r="I68">
        <v>5.0179999999999998</v>
      </c>
      <c r="J68">
        <v>5.0030000000000001</v>
      </c>
      <c r="K68">
        <v>4.9790000000000001</v>
      </c>
      <c r="L68">
        <v>4.9969999999999999</v>
      </c>
      <c r="M68">
        <v>4.9470000000000001</v>
      </c>
      <c r="N68">
        <v>4.9950000000000001</v>
      </c>
      <c r="O68" t="s">
        <v>46</v>
      </c>
      <c r="P68" t="s">
        <v>47</v>
      </c>
    </row>
    <row r="69" spans="1:16" x14ac:dyDescent="0.25">
      <c r="A69" t="s">
        <v>52</v>
      </c>
      <c r="B69" s="28">
        <v>0.64734953703703701</v>
      </c>
      <c r="C69">
        <v>5.0220000000000002</v>
      </c>
      <c r="D69">
        <v>5.0330000000000004</v>
      </c>
      <c r="E69">
        <v>5.0049999999999999</v>
      </c>
      <c r="F69">
        <v>4.99</v>
      </c>
      <c r="G69">
        <v>4.984</v>
      </c>
      <c r="H69">
        <v>4.9710000000000001</v>
      </c>
      <c r="I69">
        <v>4.9729999999999999</v>
      </c>
      <c r="J69">
        <v>4.9980000000000002</v>
      </c>
      <c r="K69">
        <v>5.0039999999999996</v>
      </c>
      <c r="L69">
        <v>4.9729999999999999</v>
      </c>
      <c r="M69">
        <v>4.9859999999999998</v>
      </c>
      <c r="N69">
        <v>4.9880000000000004</v>
      </c>
      <c r="O69" t="s">
        <v>46</v>
      </c>
      <c r="P69" t="s">
        <v>47</v>
      </c>
    </row>
    <row r="70" spans="1:16" x14ac:dyDescent="0.25">
      <c r="A70" t="s">
        <v>52</v>
      </c>
      <c r="B70" s="28">
        <v>0.64856481481481476</v>
      </c>
      <c r="C70">
        <v>4.97</v>
      </c>
      <c r="D70">
        <v>4.9690000000000003</v>
      </c>
      <c r="E70">
        <v>5.0019999999999998</v>
      </c>
      <c r="F70">
        <v>5.0010000000000003</v>
      </c>
      <c r="G70">
        <v>5.008</v>
      </c>
      <c r="H70">
        <v>5.0019999999999998</v>
      </c>
      <c r="I70">
        <v>4.9800000000000004</v>
      </c>
      <c r="J70">
        <v>5.0039999999999996</v>
      </c>
      <c r="K70">
        <v>5.0049999999999999</v>
      </c>
      <c r="L70">
        <v>5.0030000000000001</v>
      </c>
      <c r="M70">
        <v>4.9800000000000004</v>
      </c>
      <c r="N70">
        <v>4.9980000000000002</v>
      </c>
      <c r="O70" t="s">
        <v>46</v>
      </c>
      <c r="P70" t="s">
        <v>47</v>
      </c>
    </row>
    <row r="71" spans="1:16" x14ac:dyDescent="0.25">
      <c r="A71" t="s">
        <v>52</v>
      </c>
      <c r="B71" s="28">
        <v>0.64978009259259262</v>
      </c>
      <c r="C71">
        <v>4.9820000000000002</v>
      </c>
      <c r="D71">
        <v>4.9720000000000004</v>
      </c>
      <c r="E71">
        <v>4.9950000000000001</v>
      </c>
      <c r="F71">
        <v>5.0039999999999996</v>
      </c>
      <c r="G71">
        <v>4.9550000000000001</v>
      </c>
      <c r="H71">
        <v>4.9989999999999997</v>
      </c>
      <c r="I71">
        <v>5.0149999999999997</v>
      </c>
      <c r="J71">
        <v>4.9779999999999998</v>
      </c>
      <c r="K71">
        <v>5.01</v>
      </c>
      <c r="L71">
        <v>5.0049999999999999</v>
      </c>
      <c r="M71">
        <v>4.9880000000000004</v>
      </c>
      <c r="N71">
        <v>5.0019999999999998</v>
      </c>
      <c r="O71" t="s">
        <v>46</v>
      </c>
      <c r="P71" t="s">
        <v>47</v>
      </c>
    </row>
    <row r="72" spans="1:16" x14ac:dyDescent="0.25">
      <c r="A72" t="s">
        <v>52</v>
      </c>
      <c r="B72" s="28">
        <v>0.6517708333333333</v>
      </c>
      <c r="C72">
        <v>5.0119999999999996</v>
      </c>
      <c r="D72">
        <v>4.9930000000000003</v>
      </c>
      <c r="E72">
        <v>4.992</v>
      </c>
      <c r="F72">
        <v>5.0199999999999996</v>
      </c>
      <c r="G72">
        <v>4.9950000000000001</v>
      </c>
      <c r="H72">
        <v>4.9969999999999999</v>
      </c>
      <c r="I72">
        <v>5.024</v>
      </c>
      <c r="J72">
        <v>5.0369999999999999</v>
      </c>
      <c r="K72">
        <v>4.9950000000000001</v>
      </c>
      <c r="L72">
        <v>4.9980000000000002</v>
      </c>
      <c r="M72">
        <v>5.0049999999999999</v>
      </c>
      <c r="N72">
        <v>5.0170000000000003</v>
      </c>
      <c r="O72" t="s">
        <v>46</v>
      </c>
      <c r="P72" t="s">
        <v>47</v>
      </c>
    </row>
    <row r="73" spans="1:16" x14ac:dyDescent="0.25">
      <c r="A73" t="s">
        <v>52</v>
      </c>
      <c r="B73" s="28">
        <v>0.65298611111111116</v>
      </c>
      <c r="C73">
        <v>5.03</v>
      </c>
      <c r="D73">
        <v>5.0430000000000001</v>
      </c>
      <c r="E73">
        <v>5.0519999999999996</v>
      </c>
      <c r="F73">
        <v>5.0129999999999999</v>
      </c>
      <c r="G73">
        <v>5.0339999999999998</v>
      </c>
      <c r="H73">
        <v>5.03</v>
      </c>
      <c r="I73">
        <v>4.984</v>
      </c>
      <c r="J73">
        <v>5.0019999999999998</v>
      </c>
      <c r="K73">
        <v>5.0010000000000003</v>
      </c>
      <c r="L73">
        <v>4.9980000000000002</v>
      </c>
      <c r="M73">
        <v>5.0289999999999999</v>
      </c>
      <c r="N73">
        <v>4.984</v>
      </c>
      <c r="O73" t="s">
        <v>46</v>
      </c>
      <c r="P73" t="s">
        <v>47</v>
      </c>
    </row>
    <row r="74" spans="1:16" x14ac:dyDescent="0.25">
      <c r="A74" t="s">
        <v>52</v>
      </c>
      <c r="B74" s="28">
        <v>0.65474537037037039</v>
      </c>
      <c r="C74">
        <v>4.9939999999999998</v>
      </c>
      <c r="D74">
        <v>4.984</v>
      </c>
      <c r="E74">
        <v>5.0030000000000001</v>
      </c>
      <c r="F74">
        <v>4.9829999999999997</v>
      </c>
      <c r="G74">
        <v>4.9850000000000003</v>
      </c>
      <c r="H74">
        <v>4.9690000000000003</v>
      </c>
      <c r="I74">
        <v>5.0140000000000002</v>
      </c>
      <c r="J74">
        <v>5.008</v>
      </c>
      <c r="K74">
        <v>4.9850000000000003</v>
      </c>
      <c r="L74">
        <v>5.0060000000000002</v>
      </c>
      <c r="M74">
        <v>4.9989999999999997</v>
      </c>
      <c r="N74">
        <v>4.9950000000000001</v>
      </c>
      <c r="O74" t="s">
        <v>46</v>
      </c>
      <c r="P74" t="s">
        <v>47</v>
      </c>
    </row>
    <row r="75" spans="1:16" x14ac:dyDescent="0.25">
      <c r="A75" t="s">
        <v>52</v>
      </c>
      <c r="B75" s="28">
        <v>0.65596064814814814</v>
      </c>
      <c r="C75">
        <v>4.984</v>
      </c>
      <c r="D75">
        <v>5.0030000000000001</v>
      </c>
      <c r="E75">
        <v>5.0149999999999997</v>
      </c>
      <c r="F75">
        <v>4.9740000000000002</v>
      </c>
      <c r="G75">
        <v>4.9950000000000001</v>
      </c>
      <c r="H75">
        <v>4.9829999999999997</v>
      </c>
      <c r="I75">
        <v>5</v>
      </c>
      <c r="J75">
        <v>4.9630000000000001</v>
      </c>
      <c r="K75">
        <v>4.9850000000000003</v>
      </c>
      <c r="L75">
        <v>4.9820000000000002</v>
      </c>
      <c r="M75">
        <v>4.9729999999999999</v>
      </c>
      <c r="N75">
        <v>4.9859999999999998</v>
      </c>
      <c r="O75" t="s">
        <v>46</v>
      </c>
      <c r="P75" t="s">
        <v>47</v>
      </c>
    </row>
    <row r="76" spans="1:16" x14ac:dyDescent="0.25">
      <c r="A76" t="s">
        <v>52</v>
      </c>
      <c r="B76" s="28">
        <v>0.65733796296296299</v>
      </c>
      <c r="C76">
        <v>5.0019999999999998</v>
      </c>
      <c r="D76">
        <v>5.016</v>
      </c>
      <c r="E76">
        <v>5.0220000000000002</v>
      </c>
      <c r="F76">
        <v>5.0229999999999997</v>
      </c>
      <c r="G76">
        <v>5.0069999999999997</v>
      </c>
      <c r="H76">
        <v>5.0140000000000002</v>
      </c>
      <c r="I76">
        <v>4.9829999999999997</v>
      </c>
      <c r="J76">
        <v>5.0289999999999999</v>
      </c>
      <c r="K76">
        <v>4.9859999999999998</v>
      </c>
      <c r="L76">
        <v>4.9880000000000004</v>
      </c>
      <c r="M76">
        <v>4.9649999999999999</v>
      </c>
      <c r="N76">
        <v>4.9850000000000003</v>
      </c>
      <c r="O76" t="s">
        <v>46</v>
      </c>
      <c r="P76" t="s">
        <v>47</v>
      </c>
    </row>
    <row r="77" spans="1:16" x14ac:dyDescent="0.25">
      <c r="A77" t="s">
        <v>52</v>
      </c>
      <c r="B77" s="28">
        <v>0.65854166666666669</v>
      </c>
      <c r="C77">
        <v>5.0010000000000003</v>
      </c>
      <c r="D77">
        <v>5</v>
      </c>
      <c r="E77">
        <v>5.0049999999999999</v>
      </c>
      <c r="F77">
        <v>5.0019999999999998</v>
      </c>
      <c r="G77">
        <v>4.9969999999999999</v>
      </c>
      <c r="H77">
        <v>5.0140000000000002</v>
      </c>
      <c r="I77">
        <v>4.9829999999999997</v>
      </c>
      <c r="J77">
        <v>4.9880000000000004</v>
      </c>
      <c r="K77">
        <v>5.0170000000000003</v>
      </c>
      <c r="L77">
        <v>5.0019999999999998</v>
      </c>
      <c r="M77">
        <v>4.992</v>
      </c>
      <c r="N77">
        <v>5.024</v>
      </c>
      <c r="O77" t="s">
        <v>46</v>
      </c>
      <c r="P77" t="s">
        <v>47</v>
      </c>
    </row>
    <row r="78" spans="1:16" x14ac:dyDescent="0.25">
      <c r="A78" t="s">
        <v>52</v>
      </c>
      <c r="B78" s="28">
        <v>0.65975694444444444</v>
      </c>
      <c r="C78">
        <v>5.008</v>
      </c>
      <c r="D78">
        <v>5.0039999999999996</v>
      </c>
      <c r="E78">
        <v>4.9960000000000004</v>
      </c>
      <c r="F78">
        <v>4.9859999999999998</v>
      </c>
      <c r="G78">
        <v>5.0129999999999999</v>
      </c>
      <c r="H78">
        <v>5.0110000000000001</v>
      </c>
      <c r="I78">
        <v>4.9880000000000004</v>
      </c>
      <c r="J78">
        <v>5.0069999999999997</v>
      </c>
      <c r="K78">
        <v>5.0389999999999997</v>
      </c>
      <c r="L78">
        <v>5.03</v>
      </c>
      <c r="M78">
        <v>5.0270000000000001</v>
      </c>
      <c r="N78">
        <v>5.016</v>
      </c>
      <c r="O78" t="s">
        <v>46</v>
      </c>
      <c r="P78" t="s">
        <v>47</v>
      </c>
    </row>
    <row r="79" spans="1:16" x14ac:dyDescent="0.25">
      <c r="A79" t="s">
        <v>52</v>
      </c>
      <c r="B79" s="28">
        <v>0.66097222222222218</v>
      </c>
      <c r="C79">
        <v>4.9980000000000002</v>
      </c>
      <c r="D79">
        <v>4.984</v>
      </c>
      <c r="E79">
        <v>4.9710000000000001</v>
      </c>
      <c r="F79">
        <v>4.9809999999999999</v>
      </c>
      <c r="G79">
        <v>4.9710000000000001</v>
      </c>
      <c r="H79">
        <v>4.97</v>
      </c>
      <c r="I79">
        <v>5.0129999999999999</v>
      </c>
      <c r="J79">
        <v>5</v>
      </c>
      <c r="K79">
        <v>5.0140000000000002</v>
      </c>
      <c r="L79">
        <v>5.024</v>
      </c>
      <c r="M79">
        <v>5.032</v>
      </c>
      <c r="N79">
        <v>5.0110000000000001</v>
      </c>
      <c r="O79" t="s">
        <v>46</v>
      </c>
      <c r="P79" t="s">
        <v>47</v>
      </c>
    </row>
    <row r="80" spans="1:16" x14ac:dyDescent="0.25">
      <c r="A80" t="s">
        <v>52</v>
      </c>
      <c r="B80" s="28">
        <v>0.66218750000000004</v>
      </c>
      <c r="C80">
        <v>4.992</v>
      </c>
      <c r="D80">
        <v>4.9669999999999996</v>
      </c>
      <c r="E80">
        <v>4.9829999999999997</v>
      </c>
      <c r="F80">
        <v>4.9850000000000003</v>
      </c>
      <c r="G80">
        <v>4.9930000000000003</v>
      </c>
      <c r="H80">
        <v>4.9989999999999997</v>
      </c>
      <c r="I80">
        <v>5.008</v>
      </c>
      <c r="J80">
        <v>4.9820000000000002</v>
      </c>
      <c r="K80">
        <v>4.9630000000000001</v>
      </c>
      <c r="L80">
        <v>4.968</v>
      </c>
      <c r="M80">
        <v>4.9809999999999999</v>
      </c>
      <c r="N80">
        <v>4.976</v>
      </c>
      <c r="O80" t="s">
        <v>46</v>
      </c>
      <c r="P80" t="s">
        <v>47</v>
      </c>
    </row>
    <row r="81" spans="1:16" x14ac:dyDescent="0.25">
      <c r="A81" t="s">
        <v>52</v>
      </c>
      <c r="B81" s="28">
        <v>0.66340277777777779</v>
      </c>
      <c r="C81">
        <v>5.0090000000000003</v>
      </c>
      <c r="D81">
        <v>4.9960000000000004</v>
      </c>
      <c r="E81">
        <v>5.0179999999999998</v>
      </c>
      <c r="F81">
        <v>5.0060000000000002</v>
      </c>
      <c r="G81">
        <v>5.0279999999999996</v>
      </c>
      <c r="H81">
        <v>5.0250000000000004</v>
      </c>
      <c r="I81">
        <v>4.9880000000000004</v>
      </c>
      <c r="J81">
        <v>4.9930000000000003</v>
      </c>
      <c r="K81">
        <v>4.992</v>
      </c>
      <c r="L81">
        <v>4.9749999999999996</v>
      </c>
      <c r="M81">
        <v>4.984</v>
      </c>
      <c r="N81">
        <v>4.9720000000000004</v>
      </c>
      <c r="O81" t="s">
        <v>46</v>
      </c>
      <c r="P81" t="s">
        <v>47</v>
      </c>
    </row>
    <row r="82" spans="1:16" x14ac:dyDescent="0.25">
      <c r="A82" t="s">
        <v>52</v>
      </c>
      <c r="B82" s="28">
        <v>0.66461805555555553</v>
      </c>
      <c r="C82">
        <v>4.9989999999999997</v>
      </c>
      <c r="D82">
        <v>5.0410000000000004</v>
      </c>
      <c r="E82">
        <v>4.9969999999999999</v>
      </c>
      <c r="F82">
        <v>5.024</v>
      </c>
      <c r="G82">
        <v>5.0069999999999997</v>
      </c>
      <c r="H82">
        <v>5.0199999999999996</v>
      </c>
      <c r="I82">
        <v>4.9889999999999999</v>
      </c>
      <c r="J82">
        <v>4.9870000000000001</v>
      </c>
      <c r="K82">
        <v>4.9870000000000001</v>
      </c>
      <c r="L82">
        <v>5.0149999999999997</v>
      </c>
      <c r="M82">
        <v>5.0220000000000002</v>
      </c>
      <c r="N82">
        <v>5.0389999999999997</v>
      </c>
      <c r="O82" t="s">
        <v>46</v>
      </c>
      <c r="P82" t="s">
        <v>47</v>
      </c>
    </row>
    <row r="83" spans="1:16" x14ac:dyDescent="0.25">
      <c r="A83" t="s">
        <v>52</v>
      </c>
      <c r="B83" s="28">
        <v>0.66583333333333339</v>
      </c>
      <c r="C83">
        <v>4.9829999999999997</v>
      </c>
      <c r="D83">
        <v>5</v>
      </c>
      <c r="E83">
        <v>4.9850000000000003</v>
      </c>
      <c r="F83">
        <v>4.9870000000000001</v>
      </c>
      <c r="G83">
        <v>4.9989999999999997</v>
      </c>
      <c r="H83">
        <v>4.97</v>
      </c>
      <c r="I83">
        <v>5.008</v>
      </c>
      <c r="J83">
        <v>4.9889999999999999</v>
      </c>
      <c r="K83">
        <v>4.9950000000000001</v>
      </c>
      <c r="L83">
        <v>5.0170000000000003</v>
      </c>
      <c r="M83">
        <v>4.9980000000000002</v>
      </c>
      <c r="N83">
        <v>4.9880000000000004</v>
      </c>
      <c r="O83" t="s">
        <v>46</v>
      </c>
      <c r="P83" t="s">
        <v>47</v>
      </c>
    </row>
    <row r="84" spans="1:16" x14ac:dyDescent="0.25">
      <c r="A84" t="s">
        <v>52</v>
      </c>
      <c r="B84" s="28">
        <v>0.66704861111111102</v>
      </c>
      <c r="C84">
        <v>5.0110000000000001</v>
      </c>
      <c r="D84">
        <v>5.0069999999999997</v>
      </c>
      <c r="E84">
        <v>5.0069999999999997</v>
      </c>
      <c r="F84">
        <v>4.9909999999999997</v>
      </c>
      <c r="G84">
        <v>4.992</v>
      </c>
      <c r="H84">
        <v>4.9960000000000004</v>
      </c>
      <c r="I84">
        <v>5.0049999999999999</v>
      </c>
      <c r="J84">
        <v>5.0140000000000002</v>
      </c>
      <c r="K84">
        <v>5.0010000000000003</v>
      </c>
      <c r="L84">
        <v>4.9870000000000001</v>
      </c>
      <c r="M84">
        <v>4.9630000000000001</v>
      </c>
      <c r="N84">
        <v>4.9939999999999998</v>
      </c>
      <c r="O84" t="s">
        <v>46</v>
      </c>
      <c r="P84" t="s">
        <v>47</v>
      </c>
    </row>
    <row r="85" spans="1:16" x14ac:dyDescent="0.25">
      <c r="A85" t="s">
        <v>52</v>
      </c>
      <c r="B85" s="28">
        <v>0.66957175925925927</v>
      </c>
      <c r="I85">
        <v>5.016</v>
      </c>
      <c r="J85">
        <v>5.0250000000000004</v>
      </c>
      <c r="K85">
        <v>5.008</v>
      </c>
      <c r="L85">
        <v>4.9809999999999999</v>
      </c>
      <c r="M85">
        <v>4.9950000000000001</v>
      </c>
      <c r="N85">
        <v>5.0339999999999998</v>
      </c>
      <c r="O85" t="s">
        <v>46</v>
      </c>
      <c r="P85" t="s">
        <v>47</v>
      </c>
    </row>
    <row r="86" spans="1:16" x14ac:dyDescent="0.25">
      <c r="A86" t="s">
        <v>52</v>
      </c>
      <c r="B86" s="28">
        <v>0.67018518518518511</v>
      </c>
      <c r="C86">
        <v>4.9939999999999998</v>
      </c>
      <c r="D86">
        <v>4.992</v>
      </c>
      <c r="E86">
        <v>4.9950000000000001</v>
      </c>
      <c r="F86">
        <v>5.0039999999999996</v>
      </c>
      <c r="G86">
        <v>4.9720000000000004</v>
      </c>
      <c r="H86">
        <v>4.9859999999999998</v>
      </c>
      <c r="I86">
        <v>4.984</v>
      </c>
      <c r="J86">
        <v>4.9800000000000004</v>
      </c>
      <c r="K86">
        <v>5.01</v>
      </c>
      <c r="L86">
        <v>5.008</v>
      </c>
      <c r="M86">
        <v>5.0090000000000003</v>
      </c>
      <c r="N86">
        <v>4.99</v>
      </c>
      <c r="O86" t="s">
        <v>46</v>
      </c>
      <c r="P86" t="s">
        <v>47</v>
      </c>
    </row>
    <row r="87" spans="1:16" x14ac:dyDescent="0.25">
      <c r="A87" t="s">
        <v>52</v>
      </c>
      <c r="B87" s="28">
        <v>0.67140046296296296</v>
      </c>
      <c r="C87">
        <v>5.0030000000000001</v>
      </c>
      <c r="D87">
        <v>4.9729999999999999</v>
      </c>
      <c r="E87">
        <v>5.01</v>
      </c>
      <c r="F87">
        <v>5.0030000000000001</v>
      </c>
      <c r="G87">
        <v>5.0389999999999997</v>
      </c>
      <c r="H87">
        <v>5.008</v>
      </c>
      <c r="I87">
        <v>5.0270000000000001</v>
      </c>
      <c r="J87">
        <v>4.9939999999999998</v>
      </c>
      <c r="K87">
        <v>5.016</v>
      </c>
      <c r="L87">
        <v>5.0270000000000001</v>
      </c>
      <c r="M87">
        <v>4.9989999999999997</v>
      </c>
      <c r="N87">
        <v>4.9950000000000001</v>
      </c>
      <c r="O87" t="s">
        <v>46</v>
      </c>
      <c r="P87" t="s">
        <v>47</v>
      </c>
    </row>
    <row r="88" spans="1:16" x14ac:dyDescent="0.25">
      <c r="A88" t="s">
        <v>52</v>
      </c>
      <c r="B88" s="28">
        <v>0.67261574074074071</v>
      </c>
      <c r="C88">
        <v>5.0119999999999996</v>
      </c>
      <c r="D88">
        <v>5.03</v>
      </c>
      <c r="E88">
        <v>5.0270000000000001</v>
      </c>
      <c r="F88">
        <v>4.9859999999999998</v>
      </c>
      <c r="G88">
        <v>5.0339999999999998</v>
      </c>
      <c r="H88">
        <v>5.0030000000000001</v>
      </c>
      <c r="I88">
        <v>5.0110000000000001</v>
      </c>
      <c r="J88">
        <v>5.01</v>
      </c>
      <c r="K88">
        <v>5.0129999999999999</v>
      </c>
      <c r="L88">
        <v>5.01</v>
      </c>
      <c r="M88">
        <v>5.0270000000000001</v>
      </c>
      <c r="N88">
        <v>4.9980000000000002</v>
      </c>
      <c r="O88" t="s">
        <v>46</v>
      </c>
      <c r="P88" t="s">
        <v>47</v>
      </c>
    </row>
    <row r="89" spans="1:16" x14ac:dyDescent="0.25">
      <c r="A89" t="s">
        <v>52</v>
      </c>
      <c r="B89" s="28">
        <v>0.67383101851851857</v>
      </c>
      <c r="C89">
        <v>5.0019999999999998</v>
      </c>
      <c r="D89">
        <v>5.016</v>
      </c>
      <c r="E89">
        <v>5.0019999999999998</v>
      </c>
      <c r="F89">
        <v>5.0410000000000004</v>
      </c>
      <c r="G89">
        <v>5.0090000000000003</v>
      </c>
      <c r="H89">
        <v>4.9930000000000003</v>
      </c>
      <c r="I89">
        <v>4.9790000000000001</v>
      </c>
      <c r="J89">
        <v>5.0030000000000001</v>
      </c>
      <c r="K89">
        <v>5.016</v>
      </c>
      <c r="L89">
        <v>5.0010000000000003</v>
      </c>
      <c r="M89">
        <v>5.0350000000000001</v>
      </c>
      <c r="N89">
        <v>5.0069999999999997</v>
      </c>
      <c r="O89" t="s">
        <v>46</v>
      </c>
      <c r="P89" t="s">
        <v>47</v>
      </c>
    </row>
    <row r="90" spans="1:16" x14ac:dyDescent="0.25">
      <c r="A90" t="s">
        <v>52</v>
      </c>
      <c r="B90" s="28">
        <v>0.67504629629629631</v>
      </c>
      <c r="C90">
        <v>4.99</v>
      </c>
      <c r="D90">
        <v>4.9660000000000002</v>
      </c>
      <c r="E90">
        <v>4.9390000000000001</v>
      </c>
      <c r="F90">
        <v>5</v>
      </c>
      <c r="G90">
        <v>4.9359999999999999</v>
      </c>
      <c r="H90">
        <v>4.9850000000000003</v>
      </c>
      <c r="I90">
        <v>5.0019999999999998</v>
      </c>
      <c r="J90">
        <v>5.0069999999999997</v>
      </c>
      <c r="K90">
        <v>4.9969999999999999</v>
      </c>
      <c r="L90">
        <v>4.9720000000000004</v>
      </c>
      <c r="M90">
        <v>4.9909999999999997</v>
      </c>
      <c r="N90">
        <v>4.9880000000000004</v>
      </c>
      <c r="O90" t="s">
        <v>46</v>
      </c>
      <c r="P90" t="s">
        <v>47</v>
      </c>
    </row>
    <row r="91" spans="1:16" x14ac:dyDescent="0.25">
      <c r="A91" t="s">
        <v>52</v>
      </c>
      <c r="B91" s="28">
        <v>0.67648148148148157</v>
      </c>
      <c r="C91">
        <v>4.9960000000000004</v>
      </c>
      <c r="D91">
        <v>4.9649999999999999</v>
      </c>
      <c r="E91">
        <v>4.9889999999999999</v>
      </c>
      <c r="F91">
        <v>4.9720000000000004</v>
      </c>
      <c r="G91">
        <v>4.9470000000000001</v>
      </c>
      <c r="H91">
        <v>5.0119999999999996</v>
      </c>
      <c r="I91">
        <v>5.0090000000000003</v>
      </c>
      <c r="J91">
        <v>4.9989999999999997</v>
      </c>
      <c r="K91">
        <v>4.9829999999999997</v>
      </c>
      <c r="L91">
        <v>4.9790000000000001</v>
      </c>
      <c r="M91">
        <v>4.992</v>
      </c>
      <c r="N91">
        <v>5.0060000000000002</v>
      </c>
      <c r="O91" t="s">
        <v>46</v>
      </c>
      <c r="P91" t="s">
        <v>47</v>
      </c>
    </row>
    <row r="92" spans="1:16" x14ac:dyDescent="0.25">
      <c r="A92" t="s">
        <v>52</v>
      </c>
      <c r="B92" s="28">
        <v>0.67769675925925921</v>
      </c>
      <c r="C92">
        <v>5.0039999999999996</v>
      </c>
      <c r="D92">
        <v>4.9800000000000004</v>
      </c>
      <c r="E92">
        <v>4.9969999999999999</v>
      </c>
      <c r="F92">
        <v>4.9820000000000002</v>
      </c>
      <c r="G92">
        <v>4.9690000000000003</v>
      </c>
      <c r="H92">
        <v>5.01</v>
      </c>
      <c r="I92">
        <v>5.0019999999999998</v>
      </c>
      <c r="J92">
        <v>5.0010000000000003</v>
      </c>
      <c r="K92">
        <v>5.0199999999999996</v>
      </c>
      <c r="L92">
        <v>5.01</v>
      </c>
      <c r="M92">
        <v>5.0049999999999999</v>
      </c>
      <c r="N92">
        <v>5</v>
      </c>
      <c r="O92" t="s">
        <v>46</v>
      </c>
      <c r="P92" t="s">
        <v>47</v>
      </c>
    </row>
    <row r="93" spans="1:16" x14ac:dyDescent="0.25">
      <c r="A93" t="s">
        <v>52</v>
      </c>
      <c r="B93" s="28">
        <v>0.67891203703703706</v>
      </c>
      <c r="C93">
        <v>5.0170000000000003</v>
      </c>
      <c r="D93">
        <v>5.03</v>
      </c>
      <c r="E93">
        <v>4.9560000000000004</v>
      </c>
      <c r="F93">
        <v>5.0110000000000001</v>
      </c>
      <c r="G93">
        <v>4.9660000000000002</v>
      </c>
      <c r="H93">
        <v>4.9980000000000002</v>
      </c>
      <c r="I93">
        <v>4.9930000000000003</v>
      </c>
      <c r="J93">
        <v>5.0140000000000002</v>
      </c>
      <c r="K93">
        <v>4.9749999999999996</v>
      </c>
      <c r="L93">
        <v>5.0039999999999996</v>
      </c>
      <c r="M93">
        <v>4.99</v>
      </c>
      <c r="N93">
        <v>5.0069999999999997</v>
      </c>
      <c r="O93" t="s">
        <v>46</v>
      </c>
      <c r="P93" t="s">
        <v>47</v>
      </c>
    </row>
    <row r="94" spans="1:16" x14ac:dyDescent="0.25">
      <c r="A94" t="s">
        <v>52</v>
      </c>
      <c r="B94" s="28">
        <v>0.68031249999999999</v>
      </c>
      <c r="C94">
        <v>5.0030000000000001</v>
      </c>
      <c r="D94">
        <v>5.0309999999999997</v>
      </c>
      <c r="E94">
        <v>4.976</v>
      </c>
      <c r="F94">
        <v>5.0279999999999996</v>
      </c>
      <c r="G94">
        <v>5.0149999999999997</v>
      </c>
      <c r="H94">
        <v>5.0010000000000003</v>
      </c>
      <c r="I94">
        <v>4.9610000000000003</v>
      </c>
      <c r="J94">
        <v>4.9950000000000001</v>
      </c>
      <c r="K94">
        <v>4.9829999999999997</v>
      </c>
      <c r="L94">
        <v>4.9960000000000004</v>
      </c>
      <c r="M94">
        <v>5.0039999999999996</v>
      </c>
      <c r="N94">
        <v>4.9889999999999999</v>
      </c>
      <c r="O94" t="s">
        <v>46</v>
      </c>
      <c r="P94" t="s">
        <v>47</v>
      </c>
    </row>
    <row r="95" spans="1:16" x14ac:dyDescent="0.25">
      <c r="A95" t="s">
        <v>52</v>
      </c>
      <c r="B95" s="28">
        <v>0.68152777777777773</v>
      </c>
      <c r="C95">
        <v>4.9880000000000004</v>
      </c>
      <c r="D95">
        <v>4.9790000000000001</v>
      </c>
      <c r="E95">
        <v>5.032</v>
      </c>
      <c r="F95">
        <v>4.9980000000000002</v>
      </c>
      <c r="G95">
        <v>5.0010000000000003</v>
      </c>
      <c r="H95">
        <v>4.9779999999999998</v>
      </c>
      <c r="I95">
        <v>4.9829999999999997</v>
      </c>
      <c r="J95">
        <v>4.9969999999999999</v>
      </c>
      <c r="K95">
        <v>5.0049999999999999</v>
      </c>
      <c r="L95">
        <v>4.9930000000000003</v>
      </c>
      <c r="M95">
        <v>4.9909999999999997</v>
      </c>
      <c r="N95">
        <v>4.9880000000000004</v>
      </c>
      <c r="O95" t="s">
        <v>46</v>
      </c>
      <c r="P95" t="s">
        <v>47</v>
      </c>
    </row>
    <row r="96" spans="1:16" x14ac:dyDescent="0.25">
      <c r="A96" t="s">
        <v>52</v>
      </c>
      <c r="B96" s="28">
        <v>0.68274305555555559</v>
      </c>
      <c r="C96">
        <v>4.9729999999999999</v>
      </c>
      <c r="D96">
        <v>4.9960000000000004</v>
      </c>
      <c r="E96">
        <v>5.0149999999999997</v>
      </c>
      <c r="F96">
        <v>4.9850000000000003</v>
      </c>
      <c r="G96">
        <v>4.9829999999999997</v>
      </c>
      <c r="H96">
        <v>4.9909999999999997</v>
      </c>
      <c r="I96">
        <v>5.0460000000000003</v>
      </c>
      <c r="J96">
        <v>5.0090000000000003</v>
      </c>
      <c r="K96">
        <v>4.9969999999999999</v>
      </c>
      <c r="L96">
        <v>4.984</v>
      </c>
      <c r="M96">
        <v>5.0090000000000003</v>
      </c>
      <c r="N96">
        <v>4.9820000000000002</v>
      </c>
      <c r="O96" t="s">
        <v>46</v>
      </c>
      <c r="P96" t="s">
        <v>47</v>
      </c>
    </row>
    <row r="97" spans="1:16" x14ac:dyDescent="0.25">
      <c r="A97" t="s">
        <v>52</v>
      </c>
      <c r="B97" s="28">
        <v>0.68481481481481488</v>
      </c>
      <c r="I97">
        <v>5.0330000000000004</v>
      </c>
      <c r="J97">
        <v>4.9939999999999998</v>
      </c>
      <c r="K97">
        <v>4.9969999999999999</v>
      </c>
      <c r="L97">
        <v>4.9980000000000002</v>
      </c>
      <c r="M97">
        <v>5.0019999999999998</v>
      </c>
      <c r="N97">
        <v>4.9859999999999998</v>
      </c>
      <c r="O97" t="s">
        <v>46</v>
      </c>
      <c r="P97" t="s">
        <v>47</v>
      </c>
    </row>
    <row r="98" spans="1:16" x14ac:dyDescent="0.25">
      <c r="A98" t="s">
        <v>52</v>
      </c>
      <c r="B98" s="28">
        <v>0.68541666666666667</v>
      </c>
      <c r="C98">
        <v>5.0170000000000003</v>
      </c>
      <c r="D98">
        <v>4.9889999999999999</v>
      </c>
      <c r="E98">
        <v>4.992</v>
      </c>
      <c r="F98">
        <v>5.0110000000000001</v>
      </c>
      <c r="G98">
        <v>4.9989999999999997</v>
      </c>
      <c r="H98">
        <v>5.0140000000000002</v>
      </c>
      <c r="I98">
        <v>4.9740000000000002</v>
      </c>
      <c r="J98">
        <v>4.9880000000000004</v>
      </c>
      <c r="K98">
        <v>5.0209999999999999</v>
      </c>
      <c r="L98">
        <v>5.0069999999999997</v>
      </c>
      <c r="M98">
        <v>4.9939999999999998</v>
      </c>
      <c r="N98">
        <v>5.0140000000000002</v>
      </c>
      <c r="O98" t="s">
        <v>46</v>
      </c>
      <c r="P98" t="s">
        <v>47</v>
      </c>
    </row>
    <row r="99" spans="1:16" x14ac:dyDescent="0.25">
      <c r="A99" t="s">
        <v>52</v>
      </c>
      <c r="B99" s="28">
        <v>0.68663194444444453</v>
      </c>
      <c r="C99">
        <v>4.9870000000000001</v>
      </c>
      <c r="D99">
        <v>4.9779999999999998</v>
      </c>
      <c r="E99">
        <v>4.9969999999999999</v>
      </c>
      <c r="F99">
        <v>5</v>
      </c>
      <c r="G99">
        <v>5.0149999999999997</v>
      </c>
      <c r="H99">
        <v>5.0019999999999998</v>
      </c>
      <c r="I99">
        <v>4.9880000000000004</v>
      </c>
      <c r="J99">
        <v>4.9770000000000003</v>
      </c>
      <c r="K99">
        <v>4.9820000000000002</v>
      </c>
      <c r="L99">
        <v>5.0339999999999998</v>
      </c>
      <c r="M99">
        <v>4.9820000000000002</v>
      </c>
      <c r="N99">
        <v>5.0039999999999996</v>
      </c>
      <c r="O99" t="s">
        <v>46</v>
      </c>
      <c r="P99" t="s">
        <v>47</v>
      </c>
    </row>
    <row r="100" spans="1:16" x14ac:dyDescent="0.25">
      <c r="A100" t="s">
        <v>52</v>
      </c>
      <c r="B100" s="28">
        <v>0.68918981481481489</v>
      </c>
      <c r="I100">
        <v>4.99</v>
      </c>
      <c r="J100">
        <v>5.008</v>
      </c>
      <c r="K100">
        <v>4.9939999999999998</v>
      </c>
      <c r="L100">
        <v>4.9980000000000002</v>
      </c>
      <c r="M100">
        <v>5.0190000000000001</v>
      </c>
      <c r="N100">
        <v>5.0110000000000001</v>
      </c>
      <c r="O100" t="s">
        <v>46</v>
      </c>
      <c r="P100" t="s">
        <v>47</v>
      </c>
    </row>
    <row r="101" spans="1:16" x14ac:dyDescent="0.25">
      <c r="A101" t="s">
        <v>52</v>
      </c>
      <c r="B101" s="28">
        <v>0.6899074074074073</v>
      </c>
      <c r="C101">
        <v>4.9829999999999997</v>
      </c>
      <c r="D101">
        <v>5.0030000000000001</v>
      </c>
      <c r="E101">
        <v>4.9850000000000003</v>
      </c>
      <c r="F101">
        <v>4.97</v>
      </c>
      <c r="G101">
        <v>4.9980000000000002</v>
      </c>
      <c r="H101">
        <v>4.9660000000000002</v>
      </c>
      <c r="I101">
        <v>4.9989999999999997</v>
      </c>
      <c r="J101">
        <v>5.0129999999999999</v>
      </c>
      <c r="K101">
        <v>5.0049999999999999</v>
      </c>
      <c r="L101">
        <v>4.9909999999999997</v>
      </c>
      <c r="M101">
        <v>5.0190000000000001</v>
      </c>
      <c r="N101">
        <v>5.0209999999999999</v>
      </c>
      <c r="O101" t="s">
        <v>46</v>
      </c>
      <c r="P101" t="s">
        <v>53</v>
      </c>
    </row>
    <row r="102" spans="1:16" x14ac:dyDescent="0.25">
      <c r="A102" t="s">
        <v>52</v>
      </c>
      <c r="B102" s="28">
        <v>0.69138888888888894</v>
      </c>
      <c r="C102">
        <v>5.0010000000000003</v>
      </c>
      <c r="D102">
        <v>5.0289999999999999</v>
      </c>
      <c r="E102">
        <v>4.9989999999999997</v>
      </c>
      <c r="F102">
        <v>4.9960000000000004</v>
      </c>
      <c r="G102">
        <v>5.0199999999999996</v>
      </c>
      <c r="H102">
        <v>4.9939999999999998</v>
      </c>
      <c r="O102" t="s">
        <v>46</v>
      </c>
      <c r="P102" t="s">
        <v>47</v>
      </c>
    </row>
    <row r="103" spans="1:16" x14ac:dyDescent="0.25">
      <c r="A103" t="s">
        <v>52</v>
      </c>
      <c r="B103" s="28">
        <v>0.69435185185185189</v>
      </c>
      <c r="C103">
        <v>5.032</v>
      </c>
      <c r="D103">
        <v>5.0229999999999997</v>
      </c>
      <c r="E103">
        <v>5.0209999999999999</v>
      </c>
      <c r="F103">
        <v>5.0279999999999996</v>
      </c>
      <c r="G103">
        <v>5.0090000000000003</v>
      </c>
      <c r="H103">
        <v>5.0369999999999999</v>
      </c>
      <c r="I103">
        <v>5.0279999999999996</v>
      </c>
      <c r="J103">
        <v>4.9779999999999998</v>
      </c>
      <c r="K103">
        <v>5.0060000000000002</v>
      </c>
      <c r="L103">
        <v>4.9980000000000002</v>
      </c>
      <c r="M103">
        <v>4.9889999999999999</v>
      </c>
      <c r="N103">
        <v>4.9809999999999999</v>
      </c>
      <c r="O103" t="s">
        <v>46</v>
      </c>
      <c r="P103" t="s">
        <v>47</v>
      </c>
    </row>
    <row r="104" spans="1:16" x14ac:dyDescent="0.25">
      <c r="A104" t="s">
        <v>52</v>
      </c>
      <c r="B104" s="28">
        <v>0.69556712962962963</v>
      </c>
      <c r="C104">
        <v>5.0190000000000001</v>
      </c>
      <c r="D104">
        <v>4.9989999999999997</v>
      </c>
      <c r="E104">
        <v>5.0069999999999997</v>
      </c>
      <c r="F104">
        <v>5.0129999999999999</v>
      </c>
      <c r="G104">
        <v>4.9790000000000001</v>
      </c>
      <c r="H104">
        <v>5.04</v>
      </c>
      <c r="I104">
        <v>5.0110000000000001</v>
      </c>
      <c r="J104">
        <v>4.9960000000000004</v>
      </c>
      <c r="K104">
        <v>4.9829999999999997</v>
      </c>
      <c r="L104">
        <v>5.0039999999999996</v>
      </c>
      <c r="M104">
        <v>4.9749999999999996</v>
      </c>
      <c r="N104">
        <v>4.9989999999999997</v>
      </c>
      <c r="O104" t="s">
        <v>46</v>
      </c>
      <c r="P104" t="s">
        <v>47</v>
      </c>
    </row>
    <row r="105" spans="1:16" x14ac:dyDescent="0.25">
      <c r="A105" t="s">
        <v>52</v>
      </c>
      <c r="B105" s="28">
        <v>0.69678240740740749</v>
      </c>
      <c r="C105">
        <v>4.9980000000000002</v>
      </c>
      <c r="D105">
        <v>4.9950000000000001</v>
      </c>
      <c r="E105">
        <v>4.9889999999999999</v>
      </c>
      <c r="F105">
        <v>4.9989999999999997</v>
      </c>
      <c r="G105">
        <v>5.008</v>
      </c>
      <c r="H105">
        <v>4.9820000000000002</v>
      </c>
      <c r="I105">
        <v>4.9969999999999999</v>
      </c>
      <c r="J105">
        <v>5.0220000000000002</v>
      </c>
      <c r="K105">
        <v>5.0119999999999996</v>
      </c>
      <c r="L105">
        <v>5.0039999999999996</v>
      </c>
      <c r="M105">
        <v>5.0039999999999996</v>
      </c>
      <c r="N105">
        <v>5.0030000000000001</v>
      </c>
      <c r="O105" t="s">
        <v>46</v>
      </c>
      <c r="P105" t="s">
        <v>47</v>
      </c>
    </row>
    <row r="106" spans="1:16" x14ac:dyDescent="0.25">
      <c r="A106" t="s">
        <v>52</v>
      </c>
      <c r="B106" s="28">
        <v>0.69799768518518512</v>
      </c>
      <c r="C106">
        <v>4.97</v>
      </c>
      <c r="D106">
        <v>4.9649999999999999</v>
      </c>
      <c r="E106">
        <v>4.9729999999999999</v>
      </c>
      <c r="F106">
        <v>4.9749999999999996</v>
      </c>
      <c r="G106">
        <v>5.0110000000000001</v>
      </c>
      <c r="H106">
        <v>5.0039999999999996</v>
      </c>
      <c r="I106">
        <v>5.0069999999999997</v>
      </c>
      <c r="J106">
        <v>5.0369999999999999</v>
      </c>
      <c r="K106">
        <v>5.0309999999999997</v>
      </c>
      <c r="L106">
        <v>5.0129999999999999</v>
      </c>
      <c r="M106">
        <v>4.9950000000000001</v>
      </c>
      <c r="N106">
        <v>5.04</v>
      </c>
      <c r="O106" t="s">
        <v>46</v>
      </c>
      <c r="P106" t="s">
        <v>47</v>
      </c>
    </row>
    <row r="107" spans="1:16" x14ac:dyDescent="0.25">
      <c r="A107" t="s">
        <v>52</v>
      </c>
      <c r="B107" s="28">
        <v>0.69921296296296298</v>
      </c>
      <c r="C107">
        <v>5.0010000000000003</v>
      </c>
      <c r="D107">
        <v>5.0179999999999998</v>
      </c>
      <c r="E107">
        <v>5.0129999999999999</v>
      </c>
      <c r="F107">
        <v>5.0170000000000003</v>
      </c>
      <c r="G107">
        <v>4.9939999999999998</v>
      </c>
      <c r="H107">
        <v>5.0030000000000001</v>
      </c>
      <c r="I107">
        <v>5.0019999999999998</v>
      </c>
      <c r="J107">
        <v>4.9829999999999997</v>
      </c>
      <c r="K107">
        <v>4.9640000000000004</v>
      </c>
      <c r="L107">
        <v>4.9630000000000001</v>
      </c>
      <c r="M107">
        <v>4.9729999999999999</v>
      </c>
      <c r="N107">
        <v>4.9770000000000003</v>
      </c>
      <c r="O107" t="s">
        <v>46</v>
      </c>
      <c r="P107" t="s">
        <v>47</v>
      </c>
    </row>
    <row r="108" spans="1:16" x14ac:dyDescent="0.25">
      <c r="A108" t="s">
        <v>52</v>
      </c>
      <c r="B108" s="28">
        <v>0.70042824074074073</v>
      </c>
      <c r="C108">
        <v>4.9930000000000003</v>
      </c>
      <c r="D108">
        <v>5.0190000000000001</v>
      </c>
      <c r="E108">
        <v>5.0359999999999996</v>
      </c>
      <c r="F108">
        <v>5.0039999999999996</v>
      </c>
      <c r="G108">
        <v>4.9880000000000004</v>
      </c>
      <c r="H108">
        <v>4.9770000000000003</v>
      </c>
      <c r="I108">
        <v>4.9539999999999997</v>
      </c>
      <c r="J108">
        <v>4.97</v>
      </c>
      <c r="K108">
        <v>4.9589999999999996</v>
      </c>
      <c r="L108">
        <v>4.9740000000000002</v>
      </c>
      <c r="M108">
        <v>4.9550000000000001</v>
      </c>
      <c r="N108">
        <v>4.9550000000000001</v>
      </c>
      <c r="O108" t="s">
        <v>46</v>
      </c>
      <c r="P108" t="s">
        <v>47</v>
      </c>
    </row>
    <row r="109" spans="1:16" x14ac:dyDescent="0.25">
      <c r="A109" t="s">
        <v>52</v>
      </c>
      <c r="B109" s="28">
        <v>0.70164351851851858</v>
      </c>
      <c r="C109">
        <v>5.008</v>
      </c>
      <c r="D109">
        <v>4.9909999999999997</v>
      </c>
      <c r="E109">
        <v>4.9950000000000001</v>
      </c>
      <c r="F109">
        <v>4.99</v>
      </c>
      <c r="G109">
        <v>4.9580000000000002</v>
      </c>
      <c r="H109">
        <v>4.9969999999999999</v>
      </c>
      <c r="I109">
        <v>4.9870000000000001</v>
      </c>
      <c r="J109">
        <v>4.9820000000000002</v>
      </c>
      <c r="K109">
        <v>5.0010000000000003</v>
      </c>
      <c r="L109">
        <v>5.0060000000000002</v>
      </c>
      <c r="M109">
        <v>5.0250000000000004</v>
      </c>
      <c r="N109">
        <v>5.0170000000000003</v>
      </c>
      <c r="O109" t="s">
        <v>46</v>
      </c>
      <c r="P109" t="s">
        <v>47</v>
      </c>
    </row>
    <row r="110" spans="1:16" x14ac:dyDescent="0.25">
      <c r="A110" t="s">
        <v>52</v>
      </c>
      <c r="B110" s="28">
        <v>0.70285879629629633</v>
      </c>
      <c r="C110">
        <v>4.9950000000000001</v>
      </c>
      <c r="D110">
        <v>5.0030000000000001</v>
      </c>
      <c r="E110">
        <v>5.0110000000000001</v>
      </c>
      <c r="F110">
        <v>5</v>
      </c>
      <c r="G110">
        <v>5.0149999999999997</v>
      </c>
      <c r="H110">
        <v>5.0220000000000002</v>
      </c>
      <c r="I110">
        <v>5.0149999999999997</v>
      </c>
      <c r="J110">
        <v>4.9829999999999997</v>
      </c>
      <c r="K110">
        <v>5.0170000000000003</v>
      </c>
      <c r="L110">
        <v>5.0129999999999999</v>
      </c>
      <c r="M110">
        <v>5.0279999999999996</v>
      </c>
      <c r="N110">
        <v>5.0110000000000001</v>
      </c>
      <c r="O110" t="s">
        <v>46</v>
      </c>
      <c r="P110" t="s">
        <v>47</v>
      </c>
    </row>
    <row r="111" spans="1:16" x14ac:dyDescent="0.25">
      <c r="A111" t="s">
        <v>52</v>
      </c>
      <c r="B111" s="28">
        <v>0.70407407407407396</v>
      </c>
      <c r="C111">
        <v>4.9870000000000001</v>
      </c>
      <c r="D111">
        <v>4.984</v>
      </c>
      <c r="E111">
        <v>4.9779999999999998</v>
      </c>
      <c r="F111">
        <v>5.0149999999999997</v>
      </c>
      <c r="G111">
        <v>5.0359999999999996</v>
      </c>
      <c r="H111">
        <v>4.9640000000000004</v>
      </c>
      <c r="O111" t="s">
        <v>46</v>
      </c>
      <c r="P111" t="s">
        <v>47</v>
      </c>
    </row>
    <row r="112" spans="1:16" x14ac:dyDescent="0.25">
      <c r="A112" t="s">
        <v>52</v>
      </c>
      <c r="B112" s="28">
        <v>0.76398148148148148</v>
      </c>
      <c r="C112">
        <v>5.0279999999999996</v>
      </c>
      <c r="D112">
        <v>5.0119999999999996</v>
      </c>
      <c r="E112">
        <v>5.0019999999999998</v>
      </c>
      <c r="F112">
        <v>4.9640000000000004</v>
      </c>
      <c r="G112">
        <v>4.9859999999999998</v>
      </c>
      <c r="H112">
        <v>4.968</v>
      </c>
      <c r="I112">
        <v>4.9969999999999999</v>
      </c>
      <c r="J112">
        <v>5.0199999999999996</v>
      </c>
      <c r="K112">
        <v>4.9880000000000004</v>
      </c>
      <c r="L112">
        <v>5.0270000000000001</v>
      </c>
      <c r="M112">
        <v>4.9660000000000002</v>
      </c>
      <c r="N112">
        <v>4.9770000000000003</v>
      </c>
      <c r="O112" t="s">
        <v>46</v>
      </c>
      <c r="P112" t="s">
        <v>47</v>
      </c>
    </row>
    <row r="113" spans="1:16" x14ac:dyDescent="0.25">
      <c r="A113" t="s">
        <v>52</v>
      </c>
      <c r="B113" s="28">
        <v>0.76519675925925934</v>
      </c>
      <c r="C113">
        <v>5.0279999999999996</v>
      </c>
      <c r="D113">
        <v>4.9870000000000001</v>
      </c>
      <c r="E113">
        <v>5.0039999999999996</v>
      </c>
      <c r="F113">
        <v>4.9850000000000003</v>
      </c>
      <c r="G113">
        <v>5.0570000000000004</v>
      </c>
      <c r="H113">
        <v>5.0119999999999996</v>
      </c>
      <c r="I113">
        <v>5.0209999999999999</v>
      </c>
      <c r="J113">
        <v>5.0469999999999997</v>
      </c>
      <c r="K113">
        <v>5.0179999999999998</v>
      </c>
      <c r="L113">
        <v>5.0380000000000003</v>
      </c>
      <c r="M113">
        <v>5.0149999999999997</v>
      </c>
      <c r="N113">
        <v>4.9939999999999998</v>
      </c>
      <c r="O113" t="s">
        <v>46</v>
      </c>
      <c r="P113" t="s">
        <v>47</v>
      </c>
    </row>
    <row r="114" spans="1:16" x14ac:dyDescent="0.25">
      <c r="A114" t="s">
        <v>52</v>
      </c>
      <c r="B114" s="28">
        <v>0.76641203703703698</v>
      </c>
      <c r="C114">
        <v>5.0129999999999999</v>
      </c>
      <c r="D114">
        <v>4.9880000000000004</v>
      </c>
      <c r="E114">
        <v>4.9779999999999998</v>
      </c>
      <c r="F114">
        <v>5.0060000000000002</v>
      </c>
      <c r="G114">
        <v>5.0129999999999999</v>
      </c>
      <c r="H114">
        <v>5.0519999999999996</v>
      </c>
      <c r="I114">
        <v>5.0289999999999999</v>
      </c>
      <c r="J114">
        <v>5.0049999999999999</v>
      </c>
      <c r="K114">
        <v>5.016</v>
      </c>
      <c r="L114">
        <v>5.0199999999999996</v>
      </c>
      <c r="M114">
        <v>5</v>
      </c>
      <c r="N114">
        <v>5.0179999999999998</v>
      </c>
      <c r="O114" t="s">
        <v>46</v>
      </c>
      <c r="P114" t="s">
        <v>47</v>
      </c>
    </row>
    <row r="115" spans="1:16" x14ac:dyDescent="0.25">
      <c r="A115" t="s">
        <v>52</v>
      </c>
      <c r="B115" s="28">
        <v>0.76762731481481483</v>
      </c>
      <c r="C115">
        <v>4.9770000000000003</v>
      </c>
      <c r="D115">
        <v>5.016</v>
      </c>
      <c r="E115">
        <v>5.0250000000000004</v>
      </c>
      <c r="F115">
        <v>5.0289999999999999</v>
      </c>
      <c r="G115">
        <v>4.9790000000000001</v>
      </c>
      <c r="H115">
        <v>5.0010000000000003</v>
      </c>
      <c r="I115">
        <v>4.984</v>
      </c>
      <c r="J115">
        <v>5.0049999999999999</v>
      </c>
      <c r="K115">
        <v>5.0140000000000002</v>
      </c>
      <c r="L115">
        <v>4.9930000000000003</v>
      </c>
      <c r="M115">
        <v>5.0339999999999998</v>
      </c>
      <c r="N115">
        <v>5.0119999999999996</v>
      </c>
      <c r="O115" t="s">
        <v>46</v>
      </c>
      <c r="P115" t="s">
        <v>47</v>
      </c>
    </row>
    <row r="116" spans="1:16" x14ac:dyDescent="0.25">
      <c r="A116" t="s">
        <v>52</v>
      </c>
      <c r="B116" s="28">
        <v>0.76884259259259258</v>
      </c>
      <c r="C116">
        <v>5.0039999999999996</v>
      </c>
      <c r="D116">
        <v>5.0039999999999996</v>
      </c>
      <c r="E116">
        <v>4.9850000000000003</v>
      </c>
      <c r="F116">
        <v>5.0220000000000002</v>
      </c>
      <c r="G116">
        <v>4.9969999999999999</v>
      </c>
      <c r="H116">
        <v>4.9969999999999999</v>
      </c>
      <c r="I116">
        <v>4.9820000000000002</v>
      </c>
      <c r="J116">
        <v>4.9859999999999998</v>
      </c>
      <c r="K116">
        <v>5.01</v>
      </c>
      <c r="L116">
        <v>4.9640000000000004</v>
      </c>
      <c r="M116">
        <v>5.0330000000000004</v>
      </c>
      <c r="N116">
        <v>5.0119999999999996</v>
      </c>
      <c r="O116" t="s">
        <v>46</v>
      </c>
      <c r="P116" t="s">
        <v>47</v>
      </c>
    </row>
    <row r="117" spans="1:16" x14ac:dyDescent="0.25">
      <c r="A117" t="s">
        <v>52</v>
      </c>
      <c r="B117" s="28">
        <v>0.77005787037037043</v>
      </c>
      <c r="C117">
        <v>4.9850000000000003</v>
      </c>
      <c r="D117">
        <v>4.9889999999999999</v>
      </c>
      <c r="E117">
        <v>5.01</v>
      </c>
      <c r="F117">
        <v>4.976</v>
      </c>
      <c r="G117">
        <v>4.9489999999999998</v>
      </c>
      <c r="H117">
        <v>5.008</v>
      </c>
      <c r="I117">
        <v>4.9829999999999997</v>
      </c>
      <c r="J117">
        <v>5</v>
      </c>
      <c r="K117">
        <v>5.016</v>
      </c>
      <c r="L117">
        <v>4.9710000000000001</v>
      </c>
      <c r="M117">
        <v>5.0350000000000001</v>
      </c>
      <c r="N117">
        <v>4.9950000000000001</v>
      </c>
      <c r="O117" t="s">
        <v>46</v>
      </c>
      <c r="P117" t="s">
        <v>47</v>
      </c>
    </row>
    <row r="118" spans="1:16" x14ac:dyDescent="0.25">
      <c r="A118" t="s">
        <v>52</v>
      </c>
      <c r="B118" s="28">
        <v>0.77127314814814818</v>
      </c>
      <c r="C118">
        <v>4.9909999999999997</v>
      </c>
      <c r="D118">
        <v>4.99</v>
      </c>
      <c r="E118">
        <v>5.0019999999999998</v>
      </c>
      <c r="F118">
        <v>4.9889999999999999</v>
      </c>
      <c r="G118">
        <v>4.9669999999999996</v>
      </c>
      <c r="H118">
        <v>5</v>
      </c>
      <c r="I118">
        <v>5.0270000000000001</v>
      </c>
      <c r="J118">
        <v>4.9870000000000001</v>
      </c>
      <c r="K118">
        <v>4.9690000000000003</v>
      </c>
      <c r="L118">
        <v>4.9749999999999996</v>
      </c>
      <c r="M118">
        <v>4.99</v>
      </c>
      <c r="N118">
        <v>5.0129999999999999</v>
      </c>
      <c r="O118" t="s">
        <v>46</v>
      </c>
      <c r="P118" t="s">
        <v>47</v>
      </c>
    </row>
    <row r="119" spans="1:16" x14ac:dyDescent="0.25">
      <c r="A119" t="s">
        <v>52</v>
      </c>
      <c r="B119" s="28">
        <v>0.77248842592592604</v>
      </c>
      <c r="C119">
        <v>4.992</v>
      </c>
      <c r="D119">
        <v>4.9829999999999997</v>
      </c>
      <c r="E119">
        <v>4.9660000000000002</v>
      </c>
      <c r="F119">
        <v>5.0129999999999999</v>
      </c>
      <c r="G119">
        <v>4.9980000000000002</v>
      </c>
      <c r="H119">
        <v>4.976</v>
      </c>
      <c r="I119">
        <v>5.0129999999999999</v>
      </c>
      <c r="J119">
        <v>5.0049999999999999</v>
      </c>
      <c r="K119">
        <v>4.9859999999999998</v>
      </c>
      <c r="L119">
        <v>4.9809999999999999</v>
      </c>
      <c r="M119">
        <v>4.99</v>
      </c>
      <c r="N119">
        <v>5.0199999999999996</v>
      </c>
      <c r="O119" t="s">
        <v>46</v>
      </c>
      <c r="P119" t="s">
        <v>47</v>
      </c>
    </row>
    <row r="120" spans="1:16" x14ac:dyDescent="0.25">
      <c r="A120" t="s">
        <v>52</v>
      </c>
      <c r="B120" s="28">
        <v>0.77369212962962963</v>
      </c>
      <c r="C120">
        <v>4.9989999999999997</v>
      </c>
      <c r="D120">
        <v>5.008</v>
      </c>
      <c r="E120">
        <v>4.9960000000000004</v>
      </c>
      <c r="F120">
        <v>5.0129999999999999</v>
      </c>
      <c r="G120">
        <v>5.0170000000000003</v>
      </c>
      <c r="H120">
        <v>4.9930000000000003</v>
      </c>
      <c r="I120">
        <v>4.9880000000000004</v>
      </c>
      <c r="J120">
        <v>4.9880000000000004</v>
      </c>
      <c r="K120">
        <v>5.016</v>
      </c>
      <c r="L120">
        <v>4.9989999999999997</v>
      </c>
      <c r="M120">
        <v>4.9880000000000004</v>
      </c>
      <c r="N120">
        <v>4.976</v>
      </c>
      <c r="O120" t="s">
        <v>46</v>
      </c>
      <c r="P120" t="s">
        <v>47</v>
      </c>
    </row>
    <row r="121" spans="1:16" x14ac:dyDescent="0.25">
      <c r="A121" t="s">
        <v>52</v>
      </c>
      <c r="B121" s="28">
        <v>0.77552083333333333</v>
      </c>
      <c r="C121">
        <v>5.0039999999999996</v>
      </c>
      <c r="D121">
        <v>5.01</v>
      </c>
      <c r="E121">
        <v>5.0220000000000002</v>
      </c>
      <c r="F121">
        <v>4.9800000000000004</v>
      </c>
      <c r="G121">
        <v>4.9779999999999998</v>
      </c>
      <c r="H121">
        <v>5.0190000000000001</v>
      </c>
      <c r="O121" t="s">
        <v>46</v>
      </c>
      <c r="P121" t="s">
        <v>47</v>
      </c>
    </row>
    <row r="122" spans="1:16" x14ac:dyDescent="0.25">
      <c r="A122" t="s">
        <v>52</v>
      </c>
      <c r="B122" s="28">
        <v>0.77688657407407413</v>
      </c>
      <c r="C122">
        <v>4.9989999999999997</v>
      </c>
      <c r="D122">
        <v>5.0110000000000001</v>
      </c>
      <c r="E122">
        <v>5.0090000000000003</v>
      </c>
      <c r="F122">
        <v>5.0220000000000002</v>
      </c>
      <c r="G122">
        <v>5.0380000000000003</v>
      </c>
      <c r="H122">
        <v>5.03</v>
      </c>
      <c r="I122">
        <v>4.9729999999999999</v>
      </c>
      <c r="J122">
        <v>4.9790000000000001</v>
      </c>
      <c r="K122">
        <v>4.968</v>
      </c>
      <c r="L122">
        <v>4.9770000000000003</v>
      </c>
      <c r="M122">
        <v>4.9669999999999996</v>
      </c>
      <c r="N122">
        <v>4.9619999999999997</v>
      </c>
      <c r="O122" t="s">
        <v>46</v>
      </c>
      <c r="P122" t="s">
        <v>47</v>
      </c>
    </row>
    <row r="123" spans="1:16" x14ac:dyDescent="0.25">
      <c r="A123" t="s">
        <v>52</v>
      </c>
      <c r="B123" s="28">
        <v>0.77810185185185177</v>
      </c>
      <c r="C123">
        <v>4.9749999999999996</v>
      </c>
      <c r="D123">
        <v>4.9790000000000001</v>
      </c>
      <c r="E123">
        <v>4.9800000000000004</v>
      </c>
      <c r="F123">
        <v>4.9690000000000003</v>
      </c>
      <c r="G123">
        <v>4.9859999999999998</v>
      </c>
      <c r="H123">
        <v>4.9569999999999999</v>
      </c>
      <c r="I123">
        <v>4.9729999999999999</v>
      </c>
      <c r="J123">
        <v>5.0289999999999999</v>
      </c>
      <c r="K123">
        <v>4.9969999999999999</v>
      </c>
      <c r="L123">
        <v>5.0259999999999998</v>
      </c>
      <c r="M123">
        <v>4.96</v>
      </c>
      <c r="N123">
        <v>4.9850000000000003</v>
      </c>
      <c r="O123" t="s">
        <v>46</v>
      </c>
      <c r="P123" t="s">
        <v>47</v>
      </c>
    </row>
    <row r="124" spans="1:16" x14ac:dyDescent="0.25">
      <c r="A124" t="s">
        <v>52</v>
      </c>
      <c r="B124" s="28">
        <v>0.77931712962962962</v>
      </c>
      <c r="C124">
        <v>4.992</v>
      </c>
      <c r="D124">
        <v>5.0010000000000003</v>
      </c>
      <c r="E124">
        <v>4.9989999999999997</v>
      </c>
      <c r="F124">
        <v>4.9889999999999999</v>
      </c>
      <c r="G124">
        <v>5.0060000000000002</v>
      </c>
      <c r="H124">
        <v>4.992</v>
      </c>
      <c r="I124">
        <v>4.992</v>
      </c>
      <c r="J124">
        <v>5.0060000000000002</v>
      </c>
      <c r="K124">
        <v>4.9969999999999999</v>
      </c>
      <c r="L124">
        <v>5.0359999999999996</v>
      </c>
      <c r="M124">
        <v>5.0049999999999999</v>
      </c>
      <c r="N124">
        <v>5.0129999999999999</v>
      </c>
      <c r="O124" t="s">
        <v>46</v>
      </c>
      <c r="P124" t="s">
        <v>47</v>
      </c>
    </row>
    <row r="125" spans="1:16" x14ac:dyDescent="0.25">
      <c r="A125" t="s">
        <v>52</v>
      </c>
      <c r="B125" s="28">
        <v>0.78053240740740737</v>
      </c>
      <c r="C125">
        <v>5.0220000000000002</v>
      </c>
      <c r="D125">
        <v>5.0170000000000003</v>
      </c>
      <c r="E125">
        <v>5.0199999999999996</v>
      </c>
      <c r="F125">
        <v>5.0229999999999997</v>
      </c>
      <c r="G125">
        <v>5.0359999999999996</v>
      </c>
      <c r="H125">
        <v>5.0129999999999999</v>
      </c>
      <c r="I125">
        <v>5.0129999999999999</v>
      </c>
      <c r="J125">
        <v>4.9880000000000004</v>
      </c>
      <c r="K125">
        <v>5.016</v>
      </c>
      <c r="L125">
        <v>4.9880000000000004</v>
      </c>
      <c r="M125">
        <v>5.0119999999999996</v>
      </c>
      <c r="N125">
        <v>4.9880000000000004</v>
      </c>
      <c r="O125" t="s">
        <v>46</v>
      </c>
      <c r="P125" t="s">
        <v>47</v>
      </c>
    </row>
    <row r="126" spans="1:16" x14ac:dyDescent="0.25">
      <c r="A126" t="s">
        <v>52</v>
      </c>
      <c r="B126" s="28">
        <v>0.78173611111111108</v>
      </c>
      <c r="C126">
        <v>5.0019999999999998</v>
      </c>
      <c r="D126">
        <v>5.0030000000000001</v>
      </c>
      <c r="E126">
        <v>5.0010000000000003</v>
      </c>
      <c r="F126">
        <v>5.0060000000000002</v>
      </c>
      <c r="G126">
        <v>4.9870000000000001</v>
      </c>
      <c r="H126">
        <v>5.016</v>
      </c>
      <c r="I126">
        <v>4.9859999999999998</v>
      </c>
      <c r="J126">
        <v>4.9989999999999997</v>
      </c>
      <c r="K126">
        <v>5.0140000000000002</v>
      </c>
      <c r="L126">
        <v>5.0010000000000003</v>
      </c>
      <c r="M126">
        <v>4.9909999999999997</v>
      </c>
      <c r="N126">
        <v>4.9740000000000002</v>
      </c>
      <c r="O126" t="s">
        <v>46</v>
      </c>
      <c r="P126" t="s">
        <v>47</v>
      </c>
    </row>
    <row r="127" spans="1:16" x14ac:dyDescent="0.25">
      <c r="A127" t="s">
        <v>52</v>
      </c>
      <c r="B127" s="28">
        <v>0.78295138888888882</v>
      </c>
      <c r="C127">
        <v>4.984</v>
      </c>
      <c r="D127">
        <v>4.9800000000000004</v>
      </c>
      <c r="E127">
        <v>4.9969999999999999</v>
      </c>
      <c r="F127">
        <v>5.0110000000000001</v>
      </c>
      <c r="G127">
        <v>4.9870000000000001</v>
      </c>
      <c r="H127">
        <v>5.0019999999999998</v>
      </c>
      <c r="I127">
        <v>5.0250000000000004</v>
      </c>
      <c r="J127">
        <v>4.9989999999999997</v>
      </c>
      <c r="K127">
        <v>5.0250000000000004</v>
      </c>
      <c r="L127">
        <v>5.0069999999999997</v>
      </c>
      <c r="M127">
        <v>5.032</v>
      </c>
      <c r="N127">
        <v>5.0149999999999997</v>
      </c>
      <c r="O127" t="s">
        <v>46</v>
      </c>
      <c r="P127" t="s">
        <v>47</v>
      </c>
    </row>
    <row r="128" spans="1:16" x14ac:dyDescent="0.25">
      <c r="A128" t="s">
        <v>52</v>
      </c>
      <c r="B128" s="28">
        <v>0.78416666666666668</v>
      </c>
      <c r="C128">
        <v>4.9809999999999999</v>
      </c>
      <c r="D128">
        <v>4.9889999999999999</v>
      </c>
      <c r="E128">
        <v>4.976</v>
      </c>
      <c r="F128">
        <v>5.0119999999999996</v>
      </c>
      <c r="G128">
        <v>4.9690000000000003</v>
      </c>
      <c r="H128">
        <v>4.9930000000000003</v>
      </c>
      <c r="I128">
        <v>5.0129999999999999</v>
      </c>
      <c r="J128">
        <v>4.9809999999999999</v>
      </c>
      <c r="K128">
        <v>4.9829999999999997</v>
      </c>
      <c r="L128">
        <v>4.9969999999999999</v>
      </c>
      <c r="M128">
        <v>5.016</v>
      </c>
      <c r="N128">
        <v>5.0090000000000003</v>
      </c>
      <c r="O128" t="s">
        <v>46</v>
      </c>
      <c r="P128" t="s">
        <v>47</v>
      </c>
    </row>
    <row r="129" spans="1:16" x14ac:dyDescent="0.25">
      <c r="A129" t="s">
        <v>52</v>
      </c>
      <c r="B129" s="28">
        <v>0.78538194444444442</v>
      </c>
      <c r="C129">
        <v>4.9969999999999999</v>
      </c>
      <c r="D129">
        <v>5.0129999999999999</v>
      </c>
      <c r="E129">
        <v>5.0019999999999998</v>
      </c>
      <c r="F129">
        <v>5</v>
      </c>
      <c r="G129">
        <v>5.0149999999999997</v>
      </c>
      <c r="H129">
        <v>4.9630000000000001</v>
      </c>
      <c r="I129">
        <v>5.0179999999999998</v>
      </c>
      <c r="J129">
        <v>5.0149999999999997</v>
      </c>
      <c r="K129">
        <v>5.01</v>
      </c>
      <c r="L129">
        <v>5.016</v>
      </c>
      <c r="M129">
        <v>4.984</v>
      </c>
      <c r="N129">
        <v>5.03</v>
      </c>
      <c r="O129" t="s">
        <v>46</v>
      </c>
      <c r="P129" t="s">
        <v>47</v>
      </c>
    </row>
    <row r="130" spans="1:16" x14ac:dyDescent="0.25">
      <c r="A130" t="s">
        <v>52</v>
      </c>
      <c r="B130" s="28">
        <v>0.78675925925925927</v>
      </c>
      <c r="C130">
        <v>5.0220000000000002</v>
      </c>
      <c r="D130">
        <v>5.008</v>
      </c>
      <c r="E130">
        <v>5.0060000000000002</v>
      </c>
      <c r="F130">
        <v>4.992</v>
      </c>
      <c r="G130">
        <v>5.0199999999999996</v>
      </c>
      <c r="H130">
        <v>5.01</v>
      </c>
      <c r="I130">
        <v>4.96</v>
      </c>
      <c r="J130">
        <v>5.008</v>
      </c>
      <c r="K130">
        <v>4.96</v>
      </c>
      <c r="L130">
        <v>4.9569999999999999</v>
      </c>
      <c r="M130">
        <v>4.9340000000000002</v>
      </c>
      <c r="N130">
        <v>4.984</v>
      </c>
      <c r="O130" t="s">
        <v>46</v>
      </c>
      <c r="P130" t="s">
        <v>47</v>
      </c>
    </row>
    <row r="131" spans="1:16" x14ac:dyDescent="0.25">
      <c r="A131" t="s">
        <v>52</v>
      </c>
      <c r="B131" s="28">
        <v>0.78797453703703713</v>
      </c>
      <c r="C131">
        <v>4.9950000000000001</v>
      </c>
      <c r="D131">
        <v>5.0179999999999998</v>
      </c>
      <c r="E131">
        <v>4.9939999999999998</v>
      </c>
      <c r="F131">
        <v>4.9790000000000001</v>
      </c>
      <c r="G131">
        <v>5.0019999999999998</v>
      </c>
      <c r="H131">
        <v>4.9930000000000003</v>
      </c>
      <c r="I131">
        <v>4.9790000000000001</v>
      </c>
      <c r="J131">
        <v>4.968</v>
      </c>
      <c r="K131">
        <v>4.992</v>
      </c>
      <c r="L131">
        <v>4.9660000000000002</v>
      </c>
      <c r="M131">
        <v>4.9930000000000003</v>
      </c>
      <c r="N131">
        <v>4.9770000000000003</v>
      </c>
      <c r="O131" t="s">
        <v>46</v>
      </c>
      <c r="P131" t="s">
        <v>47</v>
      </c>
    </row>
    <row r="132" spans="1:16" x14ac:dyDescent="0.25">
      <c r="A132" t="s">
        <v>52</v>
      </c>
      <c r="B132" s="28">
        <v>0.79103009259259249</v>
      </c>
      <c r="I132">
        <v>5.0209999999999999</v>
      </c>
      <c r="J132">
        <v>4.9770000000000003</v>
      </c>
      <c r="K132">
        <v>5.0179999999999998</v>
      </c>
      <c r="L132">
        <v>5.0030000000000001</v>
      </c>
      <c r="M132">
        <v>5.0030000000000001</v>
      </c>
      <c r="N132">
        <v>4.9740000000000002</v>
      </c>
      <c r="O132" t="s">
        <v>46</v>
      </c>
      <c r="P132" t="s">
        <v>47</v>
      </c>
    </row>
    <row r="133" spans="1:16" x14ac:dyDescent="0.25">
      <c r="A133" t="s">
        <v>52</v>
      </c>
      <c r="B133" s="28">
        <v>0.79163194444444451</v>
      </c>
      <c r="C133">
        <v>4.9969999999999999</v>
      </c>
      <c r="D133">
        <v>4.9859999999999998</v>
      </c>
      <c r="E133">
        <v>4.9989999999999997</v>
      </c>
      <c r="F133">
        <v>4.9859999999999998</v>
      </c>
      <c r="G133">
        <v>5.0060000000000002</v>
      </c>
      <c r="H133">
        <v>5.0049999999999999</v>
      </c>
      <c r="I133">
        <v>4.9989999999999997</v>
      </c>
      <c r="J133">
        <v>5.0289999999999999</v>
      </c>
      <c r="K133">
        <v>5.0129999999999999</v>
      </c>
      <c r="L133">
        <v>5.04</v>
      </c>
      <c r="M133">
        <v>4.9969999999999999</v>
      </c>
      <c r="N133">
        <v>5.0430000000000001</v>
      </c>
      <c r="O133" t="s">
        <v>46</v>
      </c>
      <c r="P133" t="s">
        <v>47</v>
      </c>
    </row>
    <row r="134" spans="1:16" x14ac:dyDescent="0.25">
      <c r="A134" t="s">
        <v>52</v>
      </c>
      <c r="B134" s="28">
        <v>0.79284722222222215</v>
      </c>
      <c r="C134">
        <v>5.0129999999999999</v>
      </c>
      <c r="D134">
        <v>4.9790000000000001</v>
      </c>
      <c r="E134">
        <v>5.01</v>
      </c>
      <c r="F134">
        <v>4.9889999999999999</v>
      </c>
      <c r="G134">
        <v>5.0190000000000001</v>
      </c>
      <c r="H134">
        <v>5.0220000000000002</v>
      </c>
      <c r="I134">
        <v>4.9889999999999999</v>
      </c>
      <c r="J134">
        <v>5.0069999999999997</v>
      </c>
      <c r="K134">
        <v>5.0119999999999996</v>
      </c>
      <c r="L134">
        <v>5.0350000000000001</v>
      </c>
      <c r="M134">
        <v>5.0010000000000003</v>
      </c>
      <c r="N134">
        <v>5.0229999999999997</v>
      </c>
      <c r="O134" t="s">
        <v>46</v>
      </c>
      <c r="P134" t="s">
        <v>47</v>
      </c>
    </row>
    <row r="135" spans="1:16" x14ac:dyDescent="0.25">
      <c r="A135" t="s">
        <v>52</v>
      </c>
      <c r="B135" s="28">
        <v>0.7940625</v>
      </c>
      <c r="C135">
        <v>5.0090000000000003</v>
      </c>
      <c r="D135">
        <v>4.9850000000000003</v>
      </c>
      <c r="E135">
        <v>4.9850000000000003</v>
      </c>
      <c r="F135">
        <v>4.9939999999999998</v>
      </c>
      <c r="G135">
        <v>4.992</v>
      </c>
      <c r="H135">
        <v>5</v>
      </c>
      <c r="I135">
        <v>5.0330000000000004</v>
      </c>
      <c r="J135">
        <v>4.9960000000000004</v>
      </c>
      <c r="K135">
        <v>5.016</v>
      </c>
      <c r="L135">
        <v>4.9630000000000001</v>
      </c>
      <c r="M135">
        <v>4.9859999999999998</v>
      </c>
      <c r="N135">
        <v>4.99</v>
      </c>
      <c r="O135" t="s">
        <v>46</v>
      </c>
      <c r="P135" t="s">
        <v>47</v>
      </c>
    </row>
    <row r="136" spans="1:16" x14ac:dyDescent="0.25">
      <c r="A136" t="s">
        <v>52</v>
      </c>
      <c r="B136" s="28">
        <v>0.79570601851851841</v>
      </c>
      <c r="C136">
        <v>5.0039999999999996</v>
      </c>
      <c r="D136">
        <v>5.0389999999999997</v>
      </c>
      <c r="E136">
        <v>5.032</v>
      </c>
      <c r="F136">
        <v>5.0419999999999998</v>
      </c>
      <c r="G136">
        <v>5.0170000000000003</v>
      </c>
      <c r="H136">
        <v>5.0049999999999999</v>
      </c>
      <c r="I136">
        <v>5.0010000000000003</v>
      </c>
      <c r="J136">
        <v>4.9790000000000001</v>
      </c>
      <c r="K136">
        <v>5</v>
      </c>
      <c r="L136">
        <v>4.984</v>
      </c>
      <c r="M136">
        <v>4.9889999999999999</v>
      </c>
      <c r="N136">
        <v>4.9889999999999999</v>
      </c>
      <c r="O136" t="s">
        <v>46</v>
      </c>
      <c r="P136" t="s">
        <v>47</v>
      </c>
    </row>
    <row r="137" spans="1:16" x14ac:dyDescent="0.25">
      <c r="A137" t="s">
        <v>52</v>
      </c>
      <c r="B137" s="28">
        <v>0.79692129629629627</v>
      </c>
      <c r="C137">
        <v>5.0039999999999996</v>
      </c>
      <c r="D137">
        <v>5.0110000000000001</v>
      </c>
      <c r="E137">
        <v>5.008</v>
      </c>
      <c r="F137">
        <v>5</v>
      </c>
      <c r="G137">
        <v>4.9790000000000001</v>
      </c>
      <c r="H137">
        <v>5.0069999999999997</v>
      </c>
      <c r="I137">
        <v>4.9820000000000002</v>
      </c>
      <c r="J137">
        <v>4.992</v>
      </c>
      <c r="K137">
        <v>4.9950000000000001</v>
      </c>
      <c r="L137">
        <v>4.9909999999999997</v>
      </c>
      <c r="M137">
        <v>5.0289999999999999</v>
      </c>
      <c r="N137">
        <v>4.9889999999999999</v>
      </c>
      <c r="O137" t="s">
        <v>46</v>
      </c>
      <c r="P137" t="s">
        <v>47</v>
      </c>
    </row>
    <row r="138" spans="1:16" x14ac:dyDescent="0.25">
      <c r="A138" t="s">
        <v>52</v>
      </c>
      <c r="B138" s="28">
        <v>0.79813657407407401</v>
      </c>
      <c r="C138">
        <v>4.9829999999999997</v>
      </c>
      <c r="D138">
        <v>5.0039999999999996</v>
      </c>
      <c r="E138">
        <v>4.9829999999999997</v>
      </c>
      <c r="F138">
        <v>4.9820000000000002</v>
      </c>
      <c r="G138">
        <v>5.0140000000000002</v>
      </c>
      <c r="H138">
        <v>5.0259999999999998</v>
      </c>
      <c r="I138">
        <v>4.9710000000000001</v>
      </c>
      <c r="J138">
        <v>5.0110000000000001</v>
      </c>
      <c r="K138">
        <v>4.9720000000000004</v>
      </c>
      <c r="L138">
        <v>4.9870000000000001</v>
      </c>
      <c r="M138">
        <v>4.9770000000000003</v>
      </c>
      <c r="N138">
        <v>4.97</v>
      </c>
      <c r="O138" t="s">
        <v>46</v>
      </c>
      <c r="P138" t="s">
        <v>47</v>
      </c>
    </row>
    <row r="139" spans="1:16" x14ac:dyDescent="0.25">
      <c r="A139" t="s">
        <v>52</v>
      </c>
      <c r="B139" s="28">
        <v>0.80238425925925927</v>
      </c>
      <c r="C139">
        <v>4.9939999999999998</v>
      </c>
      <c r="D139">
        <v>4.9909999999999997</v>
      </c>
      <c r="E139">
        <v>4.9909999999999997</v>
      </c>
      <c r="F139">
        <v>4.9859999999999998</v>
      </c>
      <c r="G139">
        <v>5.0110000000000001</v>
      </c>
      <c r="H139">
        <v>4.9969999999999999</v>
      </c>
      <c r="I139">
        <v>5.0220000000000002</v>
      </c>
      <c r="J139">
        <v>4.9770000000000003</v>
      </c>
      <c r="K139">
        <v>5.03</v>
      </c>
      <c r="L139">
        <v>5.0259999999999998</v>
      </c>
      <c r="M139">
        <v>5.0069999999999997</v>
      </c>
      <c r="N139">
        <v>5.024</v>
      </c>
      <c r="O139" t="s">
        <v>46</v>
      </c>
      <c r="P139" t="s">
        <v>47</v>
      </c>
    </row>
    <row r="140" spans="1:16" x14ac:dyDescent="0.25">
      <c r="A140" t="s">
        <v>52</v>
      </c>
      <c r="B140" s="28">
        <v>0.80407407407407405</v>
      </c>
      <c r="C140">
        <v>5.008</v>
      </c>
      <c r="D140">
        <v>5.0060000000000002</v>
      </c>
      <c r="E140">
        <v>5.0069999999999997</v>
      </c>
      <c r="F140">
        <v>5.01</v>
      </c>
      <c r="G140">
        <v>4.9509999999999996</v>
      </c>
      <c r="H140">
        <v>4.9630000000000001</v>
      </c>
      <c r="I140">
        <v>5.0199999999999996</v>
      </c>
      <c r="J140">
        <v>4.9749999999999996</v>
      </c>
      <c r="K140">
        <v>4.9950000000000001</v>
      </c>
      <c r="L140">
        <v>5.0039999999999996</v>
      </c>
      <c r="M140">
        <v>4.9989999999999997</v>
      </c>
      <c r="N140">
        <v>5.03</v>
      </c>
      <c r="O140" t="s">
        <v>46</v>
      </c>
      <c r="P140" t="s">
        <v>47</v>
      </c>
    </row>
    <row r="141" spans="1:16" x14ac:dyDescent="0.25">
      <c r="A141" t="s">
        <v>52</v>
      </c>
      <c r="B141" s="28">
        <v>0.80535879629629636</v>
      </c>
      <c r="C141">
        <v>5.0010000000000003</v>
      </c>
      <c r="D141">
        <v>5.01</v>
      </c>
      <c r="E141">
        <v>4.9980000000000002</v>
      </c>
      <c r="F141">
        <v>5.0060000000000002</v>
      </c>
      <c r="G141">
        <v>4.9859999999999998</v>
      </c>
      <c r="H141">
        <v>4.976</v>
      </c>
      <c r="I141">
        <v>4.9850000000000003</v>
      </c>
      <c r="J141">
        <v>5.0579999999999998</v>
      </c>
      <c r="K141">
        <v>4.992</v>
      </c>
      <c r="L141">
        <v>5.0229999999999997</v>
      </c>
      <c r="M141">
        <v>5.0270000000000001</v>
      </c>
      <c r="N141">
        <v>4.9829999999999997</v>
      </c>
      <c r="O141" t="s">
        <v>46</v>
      </c>
      <c r="P141" t="s">
        <v>47</v>
      </c>
    </row>
    <row r="142" spans="1:16" x14ac:dyDescent="0.25">
      <c r="A142" t="s">
        <v>52</v>
      </c>
      <c r="B142" s="28">
        <v>0.806574074074074</v>
      </c>
      <c r="C142">
        <v>5.0129999999999999</v>
      </c>
      <c r="D142">
        <v>4.9660000000000002</v>
      </c>
      <c r="E142">
        <v>5.01</v>
      </c>
      <c r="F142">
        <v>5.0119999999999996</v>
      </c>
      <c r="G142">
        <v>5.048</v>
      </c>
      <c r="H142">
        <v>5.0190000000000001</v>
      </c>
      <c r="O142" t="s">
        <v>46</v>
      </c>
      <c r="P142" t="s">
        <v>47</v>
      </c>
    </row>
    <row r="143" spans="1:16" x14ac:dyDescent="0.25">
      <c r="A143" t="s">
        <v>52</v>
      </c>
      <c r="B143" s="28">
        <v>0.80778935185185186</v>
      </c>
      <c r="C143">
        <v>4.9850000000000003</v>
      </c>
      <c r="D143">
        <v>5.0140000000000002</v>
      </c>
      <c r="E143">
        <v>5.0190000000000001</v>
      </c>
      <c r="F143">
        <v>4.968</v>
      </c>
      <c r="G143">
        <v>5.0540000000000003</v>
      </c>
      <c r="H143">
        <v>4.9980000000000002</v>
      </c>
      <c r="I143">
        <v>4.9889999999999999</v>
      </c>
      <c r="J143">
        <v>5.0380000000000003</v>
      </c>
      <c r="K143">
        <v>4.9560000000000004</v>
      </c>
      <c r="L143">
        <v>5.0010000000000003</v>
      </c>
      <c r="M143">
        <v>5.0019999999999998</v>
      </c>
      <c r="N143">
        <v>4.97</v>
      </c>
      <c r="O143" t="s">
        <v>46</v>
      </c>
      <c r="P143" t="s">
        <v>47</v>
      </c>
    </row>
    <row r="144" spans="1:16" x14ac:dyDescent="0.25">
      <c r="A144" t="s">
        <v>52</v>
      </c>
      <c r="B144" s="28">
        <v>0.8090046296296296</v>
      </c>
      <c r="C144">
        <v>4.9960000000000004</v>
      </c>
      <c r="D144">
        <v>5.0060000000000002</v>
      </c>
      <c r="E144">
        <v>4.9720000000000004</v>
      </c>
      <c r="F144">
        <v>4.9800000000000004</v>
      </c>
      <c r="G144">
        <v>4.9710000000000001</v>
      </c>
      <c r="H144">
        <v>5.0030000000000001</v>
      </c>
      <c r="O144" t="s">
        <v>46</v>
      </c>
      <c r="P144" t="s">
        <v>47</v>
      </c>
    </row>
    <row r="145" spans="1:16" x14ac:dyDescent="0.25">
      <c r="A145" t="s">
        <v>52</v>
      </c>
      <c r="B145" s="28">
        <v>0.81033564814814818</v>
      </c>
      <c r="C145">
        <v>4.9820000000000002</v>
      </c>
      <c r="D145">
        <v>4.9820000000000002</v>
      </c>
      <c r="E145">
        <v>4.9770000000000003</v>
      </c>
      <c r="F145">
        <v>4.9969999999999999</v>
      </c>
      <c r="G145">
        <v>4.9429999999999996</v>
      </c>
      <c r="H145">
        <v>4.9939999999999998</v>
      </c>
      <c r="I145">
        <v>4.9950000000000001</v>
      </c>
      <c r="J145">
        <v>5.0010000000000003</v>
      </c>
      <c r="K145">
        <v>5.0170000000000003</v>
      </c>
      <c r="L145">
        <v>4.9779999999999998</v>
      </c>
      <c r="M145">
        <v>4.9820000000000002</v>
      </c>
      <c r="N145">
        <v>5.016</v>
      </c>
      <c r="O145" t="s">
        <v>46</v>
      </c>
      <c r="P145" t="s">
        <v>47</v>
      </c>
    </row>
  </sheetData>
  <autoFilter ref="A1:P1" xr:uid="{568E4464-EA88-40AB-80DA-DD91876453F1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腺苷 -1</vt:lpstr>
      <vt:lpstr>谷胱</vt:lpstr>
      <vt:lpstr>谷胱-1</vt:lpstr>
      <vt:lpstr>替加</vt:lpstr>
      <vt:lpstr>替加-1</vt:lpstr>
      <vt:lpstr>腺苷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2024-11-05T12:11:51Z</dcterms:modified>
</cp:coreProperties>
</file>